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TSOFT\WorkSpace\Hanwha_HAE\WebRoot\resources\template\report\"/>
    </mc:Choice>
  </mc:AlternateContent>
  <xr:revisionPtr revIDLastSave="0" documentId="13_ncr:1_{60C0521D-5D5B-4619-B226-E52E9A6577C0}" xr6:coauthVersionLast="45" xr6:coauthVersionMax="45" xr10:uidLastSave="{00000000-0000-0000-0000-000000000000}"/>
  <bookViews>
    <workbookView xWindow="-120" yWindow="-120" windowWidth="29040" windowHeight="15840" tabRatio="558" xr2:uid="{00000000-000D-0000-FFFF-FFFF00000000}"/>
  </bookViews>
  <sheets>
    <sheet name="Detailed" sheetId="18" r:id="rId1"/>
    <sheet name="임금표(2019)" sheetId="19" state="hidden" r:id="rId2"/>
    <sheet name="임금표(2019_)" sheetId="20" r:id="rId3"/>
    <sheet name="Sheet1" sheetId="21" r:id="rId4"/>
  </sheets>
  <externalReferences>
    <externalReference r:id="rId5"/>
    <externalReference r:id="rId6"/>
    <externalReference r:id="rId7"/>
  </externalReferences>
  <definedNames>
    <definedName name="__IntlFixup" hidden="1">TRUE</definedName>
    <definedName name="__IntlFixupTable" localSheetId="0" hidden="1">#REF!</definedName>
    <definedName name="__IntlFixupTable" localSheetId="1" hidden="1">#REF!</definedName>
    <definedName name="__IntlFixupTable" hidden="1">#REF!</definedName>
    <definedName name="_Fill" localSheetId="0" hidden="1">#REF!</definedName>
    <definedName name="_Fill" localSheetId="1" hidden="1">#REF!</definedName>
    <definedName name="_Fill" hidden="1">#REF!</definedName>
    <definedName name="_xlnm._FilterDatabase" localSheetId="0" hidden="1">#REF!</definedName>
    <definedName name="_xlnm._FilterDatabase" localSheetId="1" hidden="1">#REF!</definedName>
    <definedName name="_xlnm._FilterDatabase" hidden="1">#REF!</definedName>
    <definedName name="_Key1" localSheetId="0" hidden="1">#REF!</definedName>
    <definedName name="_Key1" localSheetId="1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hidden="1">#REF!</definedName>
    <definedName name="_NSO2" hidden="1">{"'Sheet1'!$L$16"}</definedName>
    <definedName name="_Order1" hidden="1">255</definedName>
    <definedName name="_Order2" hidden="1">255</definedName>
    <definedName name="_Parse_In" localSheetId="0" hidden="1">#REF!</definedName>
    <definedName name="_Parse_In" localSheetId="1" hidden="1">#REF!</definedName>
    <definedName name="_Parse_In" hidden="1">#REF!</definedName>
    <definedName name="_Parse_Out" localSheetId="0" hidden="1">#REF!</definedName>
    <definedName name="_Parse_Out" localSheetId="1" hidden="1">#REF!</definedName>
    <definedName name="_Parse_Out" hidden="1">#REF!</definedName>
    <definedName name="_Regression_Int" hidden="1">1</definedName>
    <definedName name="_Sort" localSheetId="0" hidden="1">#REF!</definedName>
    <definedName name="_Sort" localSheetId="1" hidden="1">#REF!</definedName>
    <definedName name="_Sort" hidden="1">#REF!</definedName>
    <definedName name="_Table1_In1" localSheetId="0" hidden="1">#REF!</definedName>
    <definedName name="_Table1_In1" localSheetId="1" hidden="1">#REF!</definedName>
    <definedName name="_Table1_In1" hidden="1">#REF!</definedName>
    <definedName name="_Table1_Out" localSheetId="0" hidden="1">#REF!</definedName>
    <definedName name="_Table1_Out" localSheetId="1" hidden="1">#REF!</definedName>
    <definedName name="_Table1_Out" hidden="1">#REF!</definedName>
    <definedName name="_Table2_In1" localSheetId="0" hidden="1">[1]품검자료!#REF!</definedName>
    <definedName name="_Table2_In1" localSheetId="1" hidden="1">[1]품검자료!#REF!</definedName>
    <definedName name="_Table2_In1" hidden="1">[1]품검자료!#REF!</definedName>
    <definedName name="_Table2_In2" localSheetId="0" hidden="1">[1]품검자료!#REF!</definedName>
    <definedName name="_Table2_In2" localSheetId="1" hidden="1">[1]품검자료!#REF!</definedName>
    <definedName name="_Table2_In2" hidden="1">[1]품검자료!#REF!</definedName>
    <definedName name="_Table2_Out" localSheetId="0" hidden="1">[1]품검자료!#REF!</definedName>
    <definedName name="_Table2_Out" localSheetId="1" hidden="1">[1]품검자료!#REF!</definedName>
    <definedName name="_Table2_Out" hidden="1">[1]품검자료!#REF!</definedName>
    <definedName name="Access_Button" hidden="1">"천마_양산_MAKER별_cu_List"</definedName>
    <definedName name="AccessDatabase" hidden="1">"C:\My Documents\천마\천마_양산_MAKER별.mdb"</definedName>
    <definedName name="Code" localSheetId="0" hidden="1">#REF!</definedName>
    <definedName name="Code" localSheetId="1" hidden="1">#REF!</definedName>
    <definedName name="Code" hidden="1">#REF!</definedName>
    <definedName name="CVAG" hidden="1">{#N/A,#N/A,FALSE,"MD";#N/A,#N/A,FALSE,"AL";#N/A,#N/A,FALSE,"PR";#N/A,#N/A,FALSE,"RU";#N/A,#N/A,FALSE,"SP";#N/A,#N/A,FALSE,"Z"}</definedName>
    <definedName name="data1" localSheetId="0" hidden="1">#REF!</definedName>
    <definedName name="data1" localSheetId="1" hidden="1">#REF!</definedName>
    <definedName name="data1" hidden="1">#REF!</definedName>
    <definedName name="data2" localSheetId="0" hidden="1">#REF!</definedName>
    <definedName name="data2" localSheetId="1" hidden="1">#REF!</definedName>
    <definedName name="data2" hidden="1">#REF!</definedName>
    <definedName name="data3" localSheetId="0" hidden="1">#REF!</definedName>
    <definedName name="data3" localSheetId="1" hidden="1">#REF!</definedName>
    <definedName name="data3" hidden="1">#REF!</definedName>
    <definedName name="ddd" hidden="1">{#N/A,#N/A,FALSE,"MD";#N/A,#N/A,FALSE,"AL";#N/A,#N/A,FALSE,"PR";#N/A,#N/A,FALSE,"RU";#N/A,#N/A,FALSE,"SP";#N/A,#N/A,FALSE,"Z"}</definedName>
    <definedName name="DFSSA" hidden="1">{#N/A,#N/A,FALSE,"운반시간"}</definedName>
    <definedName name="dgds" hidden="1">{#N/A,#N/A,FALSE,"MD";#N/A,#N/A,FALSE,"AL";#N/A,#N/A,FALSE,"PR";#N/A,#N/A,FALSE,"RU";#N/A,#N/A,FALSE,"SP";#N/A,#N/A,FALSE,"Z"}</definedName>
    <definedName name="DHGTHH" hidden="1">{#N/A,#N/A,FALSE,"MD";#N/A,#N/A,FALSE,"AL";#N/A,#N/A,FALSE,"PR";#N/A,#N/A,FALSE,"RU";#N/A,#N/A,FALSE,"SP";#N/A,#N/A,FALSE,"Z"}</definedName>
    <definedName name="Discount" localSheetId="0" hidden="1">#REF!</definedName>
    <definedName name="Discount" localSheetId="1" hidden="1">#REF!</definedName>
    <definedName name="Discount" hidden="1">#REF!</definedName>
    <definedName name="display_area_2" localSheetId="0" hidden="1">#REF!</definedName>
    <definedName name="display_area_2" localSheetId="1" hidden="1">#REF!</definedName>
    <definedName name="display_area_2" hidden="1">#REF!</definedName>
    <definedName name="ditgks" hidden="1">{#N/A,#N/A,FALSE,"MD";#N/A,#N/A,FALSE,"AL";#N/A,#N/A,FALSE,"PR";#N/A,#N/A,FALSE,"RU";#N/A,#N/A,FALSE,"SP";#N/A,#N/A,FALSE,"Z"}</definedName>
    <definedName name="dkeld" hidden="1">{#N/A,#N/A,FALSE,"MD";#N/A,#N/A,FALSE,"AL";#N/A,#N/A,FALSE,"PR";#N/A,#N/A,FALSE,"RU";#N/A,#N/A,FALSE,"SP";#N/A,#N/A,FALSE,"Z"}</definedName>
    <definedName name="ee" hidden="1">{#N/A,#N/A,FALSE,"단가표지"}</definedName>
    <definedName name="EJODFG" hidden="1">{#N/A,#N/A,FALSE,"MD";#N/A,#N/A,FALSE,"AL";#N/A,#N/A,FALSE,"PR";#N/A,#N/A,FALSE,"RU";#N/A,#N/A,FALSE,"SP";#N/A,#N/A,FALSE,"Z"}</definedName>
    <definedName name="FAGA" hidden="1">{#N/A,#N/A,FALSE,"MD";#N/A,#N/A,FALSE,"AL";#N/A,#N/A,FALSE,"PR";#N/A,#N/A,FALSE,"RU";#N/A,#N/A,FALSE,"SP";#N/A,#N/A,FALSE,"Z"}</definedName>
    <definedName name="FCode" localSheetId="0" hidden="1">#REF!</definedName>
    <definedName name="FCode" localSheetId="1" hidden="1">#REF!</definedName>
    <definedName name="FCode" hidden="1">#REF!</definedName>
    <definedName name="ff" hidden="1">{#N/A,#N/A,FALSE,"운반시간"}</definedName>
    <definedName name="FFF" hidden="1">{#N/A,#N/A,FALSE,"단가표지"}</definedName>
    <definedName name="FSDF" hidden="1">{#N/A,#N/A,FALSE,"운반시간"}</definedName>
    <definedName name="GADS" hidden="1">{#N/A,#N/A,FALSE,"MD";#N/A,#N/A,FALSE,"AL";#N/A,#N/A,FALSE,"PR";#N/A,#N/A,FALSE,"RU";#N/A,#N/A,FALSE,"SP";#N/A,#N/A,FALSE,"Z"}</definedName>
    <definedName name="GASDAGAS" hidden="1">{#N/A,#N/A,FALSE,"MD";#N/A,#N/A,FALSE,"AL";#N/A,#N/A,FALSE,"PR";#N/A,#N/A,FALSE,"RU";#N/A,#N/A,FALSE,"SP";#N/A,#N/A,FALSE,"Z"}</definedName>
    <definedName name="GDSA" hidden="1">{#N/A,#N/A,FALSE,"MD";#N/A,#N/A,FALSE,"AL";#N/A,#N/A,FALSE,"PR";#N/A,#N/A,FALSE,"RU";#N/A,#N/A,FALSE,"SP";#N/A,#N/A,FALSE,"Z"}</definedName>
    <definedName name="gewrqgs" hidden="1">{#N/A,#N/A,FALSE,"MD";#N/A,#N/A,FALSE,"AL";#N/A,#N/A,FALSE,"PR";#N/A,#N/A,FALSE,"RU";#N/A,#N/A,FALSE,"SP";#N/A,#N/A,FALSE,"Z"}</definedName>
    <definedName name="GFSADKJ" hidden="1">{#N/A,#N/A,FALSE,"MD";#N/A,#N/A,FALSE,"AL";#N/A,#N/A,FALSE,"PR";#N/A,#N/A,FALSE,"RU";#N/A,#N/A,FALSE,"SP";#N/A,#N/A,FALSE,"Z"}</definedName>
    <definedName name="gfsda" hidden="1">{#N/A,#N/A,FALSE,"MD";#N/A,#N/A,FALSE,"AL";#N/A,#N/A,FALSE,"PR";#N/A,#N/A,FALSE,"RU";#N/A,#N/A,FALSE,"SP";#N/A,#N/A,FALSE,"Z"}</definedName>
    <definedName name="GHFAG" hidden="1">{#N/A,#N/A,FALSE,"MD";#N/A,#N/A,FALSE,"AL";#N/A,#N/A,FALSE,"PR";#N/A,#N/A,FALSE,"RU";#N/A,#N/A,FALSE,"SP";#N/A,#N/A,FALSE,"Z"}</definedName>
    <definedName name="GQGSD" hidden="1">{#N/A,#N/A,FALSE,"MD";#N/A,#N/A,FALSE,"AL";#N/A,#N/A,FALSE,"PR";#N/A,#N/A,FALSE,"RU";#N/A,#N/A,FALSE,"SP";#N/A,#N/A,FALSE,"Z"}</definedName>
    <definedName name="gsdfa" hidden="1">{#N/A,#N/A,FALSE,"MD";#N/A,#N/A,FALSE,"AL";#N/A,#N/A,FALSE,"PR";#N/A,#N/A,FALSE,"RU";#N/A,#N/A,FALSE,"SP";#N/A,#N/A,FALSE,"Z"}</definedName>
    <definedName name="h" hidden="1">{"'Sheet1'!$L$16"}</definedName>
    <definedName name="HiddenRows" localSheetId="0" hidden="1">#REF!</definedName>
    <definedName name="HiddenRows" localSheetId="1" hidden="1">#REF!</definedName>
    <definedName name="HiddenRows" hidden="1">#REF!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ML1_1" hidden="1">"[ZD운동.xls]무결함운동!$A$3:$Q$43"</definedName>
    <definedName name="HTML1_10" hidden="1">""</definedName>
    <definedName name="HTML1_11" hidden="1">1</definedName>
    <definedName name="HTML1_12" hidden="1">"C:\My Documents\Documents\생산\ZD\MyHTML.htm"</definedName>
    <definedName name="HTML1_2" hidden="1">1</definedName>
    <definedName name="HTML1_3" hidden="1">"ZD운동.x"</definedName>
    <definedName name="HTML1_4" hidden="1">"무결함운동"</definedName>
    <definedName name="HTML1_5" hidden="1">""</definedName>
    <definedName name="HTML1_6" hidden="1">-4146</definedName>
    <definedName name="HTML1_7" hidden="1">-4146</definedName>
    <definedName name="HTML1_8" hidden="1">"99-03-06"</definedName>
    <definedName name="HTML1_9" hidden="1">"김범진"</definedName>
    <definedName name="HTML2_1" hidden="1">"'[손익전망.xls]매출손익전망(SSA)'!$A$1:$O$26"</definedName>
    <definedName name="HTML2_10" hidden="1">""</definedName>
    <definedName name="HTML2_11" hidden="1">1</definedName>
    <definedName name="HTML2_12" hidden="1">"C:\김경록\MyHTML1.htm"</definedName>
    <definedName name="HTML2_2" hidden="1">1</definedName>
    <definedName name="HTML2_3" hidden="1">"손익전망.xls"</definedName>
    <definedName name="HTML2_4" hidden="1">"매출손익전망(SSA)"</definedName>
    <definedName name="HTML2_5" hidden="1">""</definedName>
    <definedName name="HTML2_6" hidden="1">-4146</definedName>
    <definedName name="HTML2_7" hidden="1">-4146</definedName>
    <definedName name="HTML2_8" hidden="1">"98-04-22"</definedName>
    <definedName name="HTML2_9" hidden="1">"김경록"</definedName>
    <definedName name="HTMLCount" hidden="1">1</definedName>
    <definedName name="huy" hidden="1">{"'Sheet1'!$L$16"}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"09/05/2014 07:40:55"</definedName>
    <definedName name="IQ_QTD" hidden="1">750000</definedName>
    <definedName name="IQ_TODAY" hidden="1">0</definedName>
    <definedName name="IQ_YTDMONTH" hidden="1">130000</definedName>
    <definedName name="jh" hidden="1">{#N/A,#N/A,FALSE,"MD";#N/A,#N/A,FALSE,"AL";#N/A,#N/A,FALSE,"PR";#N/A,#N/A,FALSE,"RU";#N/A,#N/A,FALSE,"SP";#N/A,#N/A,FALSE,"Z"}</definedName>
    <definedName name="kkk" hidden="1">{#N/A,#N/A,FALSE,"MD";#N/A,#N/A,FALSE,"AL";#N/A,#N/A,FALSE,"PR";#N/A,#N/A,FALSE,"RU";#N/A,#N/A,FALSE,"SP";#N/A,#N/A,FALSE,"Z"}</definedName>
    <definedName name="km" localSheetId="0" hidden="1">#REF!</definedName>
    <definedName name="km" localSheetId="1" hidden="1">#REF!</definedName>
    <definedName name="km" hidden="1">#REF!</definedName>
    <definedName name="koio" hidden="1">{#N/A,#N/A,FALSE,"MD";#N/A,#N/A,FALSE,"AL";#N/A,#N/A,FALSE,"PR";#N/A,#N/A,FALSE,"RU";#N/A,#N/A,FALSE,"SP";#N/A,#N/A,FALSE,"Z"}</definedName>
    <definedName name="lan" hidden="1">{#N/A,#N/A,TRUE,"BT M200 da 10x20"}</definedName>
    <definedName name="ll" hidden="1">{#N/A,#N/A,FALSE,"MD";#N/A,#N/A,FALSE,"AL";#N/A,#N/A,FALSE,"PR";#N/A,#N/A,FALSE,"RU";#N/A,#N/A,FALSE,"SP";#N/A,#N/A,FALSE,"Z"}</definedName>
    <definedName name="ODG" hidden="1">{#N/A,#N/A,FALSE,"MD";#N/A,#N/A,FALSE,"AL";#N/A,#N/A,FALSE,"PR";#N/A,#N/A,FALSE,"RU";#N/A,#N/A,FALSE,"SP";#N/A,#N/A,FALSE,"Z"}</definedName>
    <definedName name="OrderTable" localSheetId="0" hidden="1">#REF!</definedName>
    <definedName name="OrderTable" localSheetId="1" hidden="1">#REF!</definedName>
    <definedName name="OrderTable" hidden="1">#REF!</definedName>
    <definedName name="_xlnm.Print_Area" localSheetId="1">'임금표(2019)'!$B$1:$S$21</definedName>
    <definedName name="_xlnm.Print_Area" localSheetId="2">'임금표(2019_)'!$B$1:$T$21</definedName>
    <definedName name="ProdForm" localSheetId="0" hidden="1">#REF!</definedName>
    <definedName name="ProdForm" localSheetId="1" hidden="1">#REF!</definedName>
    <definedName name="ProdForm" hidden="1">#REF!</definedName>
    <definedName name="Product" localSheetId="0" hidden="1">#REF!</definedName>
    <definedName name="Product" localSheetId="1" hidden="1">#REF!</definedName>
    <definedName name="Product" hidden="1">#REF!</definedName>
    <definedName name="qq" hidden="1">{#N/A,#N/A,FALSE,"단가표지"}</definedName>
    <definedName name="QQQ" hidden="1">{#N/A,#N/A,FALSE,"MD";#N/A,#N/A,FALSE,"AL";#N/A,#N/A,FALSE,"PR";#N/A,#N/A,FALSE,"RU";#N/A,#N/A,FALSE,"SP";#N/A,#N/A,FALSE,"Z"}</definedName>
    <definedName name="qw" hidden="1">{#N/A,#N/A,FALSE,"단가표지"}</definedName>
    <definedName name="qwfads" hidden="1">{#N/A,#N/A,FALSE,"MD";#N/A,#N/A,FALSE,"AL";#N/A,#N/A,FALSE,"PR";#N/A,#N/A,FALSE,"RU";#N/A,#N/A,FALSE,"SP";#N/A,#N/A,FALSE,"Z"}</definedName>
    <definedName name="QWSDFA" hidden="1">{#N/A,#N/A,FALSE,"MD";#N/A,#N/A,FALSE,"AL";#N/A,#N/A,FALSE,"PR";#N/A,#N/A,FALSE,"RU";#N/A,#N/A,FALSE,"SP";#N/A,#N/A,FALSE,"Z"}</definedName>
    <definedName name="RCArea" localSheetId="0" hidden="1">#REF!</definedName>
    <definedName name="RCArea" localSheetId="1" hidden="1">#REF!</definedName>
    <definedName name="RCArea" hidden="1">#REF!</definedName>
    <definedName name="rg" hidden="1">{#N/A,#N/A,FALSE,"MD";#N/A,#N/A,FALSE,"AL";#N/A,#N/A,FALSE,"PR";#N/A,#N/A,FALSE,"RU";#N/A,#N/A,FALSE,"SP";#N/A,#N/A,FALSE,"Z"}</definedName>
    <definedName name="rlaeod" hidden="1">{#N/A,#N/A,FALSE,"MD";#N/A,#N/A,FALSE,"AL";#N/A,#N/A,FALSE,"PR";#N/A,#N/A,FALSE,"RU";#N/A,#N/A,FALSE,"SP";#N/A,#N/A,FALSE,"Z"}</definedName>
    <definedName name="rr" hidden="1">{#N/A,#N/A,FALSE,"MD";#N/A,#N/A,FALSE,"AL";#N/A,#N/A,FALSE,"PR";#N/A,#N/A,FALSE,"RU";#N/A,#N/A,FALSE,"SP";#N/A,#N/A,FALSE,"Z"}</definedName>
    <definedName name="RSDGSD" hidden="1">{#N/A,#N/A,FALSE,"MD";#N/A,#N/A,FALSE,"AL";#N/A,#N/A,FALSE,"PR";#N/A,#N/A,FALSE,"RU";#N/A,#N/A,FALSE,"SP";#N/A,#N/A,FALSE,"Z"}</definedName>
    <definedName name="SAPBEXrevision" hidden="1">1</definedName>
    <definedName name="SAPBEXsysID" hidden="1">"PBW"</definedName>
    <definedName name="SAPBEXwbID" hidden="1">"3S2YL4RWB1GTFB4858ZJU4G0F"</definedName>
    <definedName name="SpecialPrice" localSheetId="0" hidden="1">#REF!</definedName>
    <definedName name="SpecialPrice" localSheetId="1" hidden="1">#REF!</definedName>
    <definedName name="SpecialPrice" hidden="1">#REF!</definedName>
    <definedName name="ss" hidden="1">{#N/A,#N/A,FALSE,"운반시간"}</definedName>
    <definedName name="TASGDF" hidden="1">{#N/A,#N/A,FALSE,"MD";#N/A,#N/A,FALSE,"AL";#N/A,#N/A,FALSE,"PR";#N/A,#N/A,FALSE,"RU";#N/A,#N/A,FALSE,"SP";#N/A,#N/A,FALSE,"Z"}</definedName>
    <definedName name="tbl_ProdInfo" localSheetId="0" hidden="1">#REF!</definedName>
    <definedName name="tbl_ProdInfo" localSheetId="1" hidden="1">#REF!</definedName>
    <definedName name="tbl_ProdInfo" hidden="1">#REF!</definedName>
    <definedName name="temp" hidden="1">"64S8U6ZS8WP0H6SJJ6NTHACQF"</definedName>
    <definedName name="TGJHEGF" localSheetId="0" hidden="1">#REF!</definedName>
    <definedName name="TGJHEGF" localSheetId="1" hidden="1">#REF!</definedName>
    <definedName name="TGJHEGF" hidden="1">#REF!</definedName>
    <definedName name="TQWDFAS" hidden="1">{#N/A,#N/A,FALSE,"MD";#N/A,#N/A,FALSE,"AL";#N/A,#N/A,FALSE,"PR";#N/A,#N/A,FALSE,"RU";#N/A,#N/A,FALSE,"SP";#N/A,#N/A,FALSE,"Z"}</definedName>
    <definedName name="UNIT종합" hidden="1">{#N/A,#N/A,FALSE,"MD";#N/A,#N/A,FALSE,"AL";#N/A,#N/A,FALSE,"PR";#N/A,#N/A,FALSE,"RU";#N/A,#N/A,FALSE,"SP";#N/A,#N/A,FALSE,"Z"}</definedName>
    <definedName name="V5_gGRAPH" hidden="1">{#N/A,#N/A,FALSE,"MD";#N/A,#N/A,FALSE,"AL";#N/A,#N/A,FALSE,"PR";#N/A,#N/A,FALSE,"RU";#N/A,#N/A,FALSE,"SP";#N/A,#N/A,FALSE,"Z"}</definedName>
    <definedName name="vasdg" hidden="1">{#N/A,#N/A,FALSE,"MD";#N/A,#N/A,FALSE,"AL";#N/A,#N/A,FALSE,"PR";#N/A,#N/A,FALSE,"RU";#N/A,#N/A,FALSE,"SP";#N/A,#N/A,FALSE,"Z"}</definedName>
    <definedName name="VJigTool" localSheetId="0" hidden="1">#REF!</definedName>
    <definedName name="VJigTool" localSheetId="1" hidden="1">#REF!</definedName>
    <definedName name="VJigTool" hidden="1">#REF!</definedName>
    <definedName name="wjdgmlwls" hidden="1">{#N/A,#N/A,FALSE,"MD";#N/A,#N/A,FALSE,"AL";#N/A,#N/A,FALSE,"PR";#N/A,#N/A,FALSE,"RU";#N/A,#N/A,FALSE,"SP";#N/A,#N/A,FALSE,"Z"}</definedName>
    <definedName name="wm.조골재1" hidden="1">{#N/A,#N/A,FALSE,"조골재"}</definedName>
    <definedName name="wqegsda" hidden="1">{#N/A,#N/A,FALSE,"MD";#N/A,#N/A,FALSE,"AL";#N/A,#N/A,FALSE,"PR";#N/A,#N/A,FALSE,"RU";#N/A,#N/A,FALSE,"SP";#N/A,#N/A,FALSE,"Z"}</definedName>
    <definedName name="wrn.2번." hidden="1">{#N/A,#N/A,FALSE,"2~8번"}</definedName>
    <definedName name="wrn.chi._.tiÆt." hidden="1">{#N/A,#N/A,FALSE,"Chi tiÆt"}</definedName>
    <definedName name="wrn.PARTLIST." hidden="1">{#N/A,#N/A,FALSE,"MD";#N/A,#N/A,FALSE,"AL";#N/A,#N/A,FALSE,"PR";#N/A,#N/A,FALSE,"RU";#N/A,#N/A,FALSE,"SP";#N/A,#N/A,FALSE,"Z"}</definedName>
    <definedName name="wrn.SQ." hidden="1">{#N/A,#N/A,FALSE,"soquy"}</definedName>
    <definedName name="wrn.vd." hidden="1">{#N/A,#N/A,TRUE,"BT M200 da 10x20"}</definedName>
    <definedName name="wrn.골재소요량." hidden="1">{#N/A,#N/A,FALSE,"골재소요량";#N/A,#N/A,FALSE,"골재소요량"}</definedName>
    <definedName name="wrn.단가표지." hidden="1">{#N/A,#N/A,FALSE,"단가표지"}</definedName>
    <definedName name="wrn.운반시간." hidden="1">{#N/A,#N/A,FALSE,"운반시간"}</definedName>
    <definedName name="wrn.조골재." hidden="1">{#N/A,#N/A,FALSE,"조골재"}</definedName>
    <definedName name="wrn.표지목차." hidden="1">{#N/A,#N/A,FALSE,"표지목차"}</definedName>
    <definedName name="wrn.혼합골재." hidden="1">{#N/A,#N/A,FALSE,"혼합골재"}</definedName>
    <definedName name="ww" hidden="1">{#N/A,#N/A,FALSE,"골재소요량";#N/A,#N/A,FALSE,"골재소요량"}</definedName>
    <definedName name="갑" hidden="1">{#N/A,#N/A,FALSE,"운반시간"}</definedName>
    <definedName name="김경수" hidden="1">{#N/A,#N/A,FALSE,"MD";#N/A,#N/A,FALSE,"AL";#N/A,#N/A,FALSE,"PR";#N/A,#N/A,FALSE,"RU";#N/A,#N/A,FALSE,"SP";#N/A,#N/A,FALSE,"Z"}</definedName>
    <definedName name="김대똥" hidden="1">{#N/A,#N/A,FALSE,"MD";#N/A,#N/A,FALSE,"AL";#N/A,#N/A,FALSE,"PR";#N/A,#N/A,FALSE,"RU";#N/A,#N/A,FALSE,"SP";#N/A,#N/A,FALSE,"Z"}</definedName>
    <definedName name="김대영" hidden="1">{#N/A,#N/A,FALSE,"MD";#N/A,#N/A,FALSE,"AL";#N/A,#N/A,FALSE,"PR";#N/A,#N/A,FALSE,"RU";#N/A,#N/A,FALSE,"SP";#N/A,#N/A,FALSE,"Z"}</definedName>
    <definedName name="김민국" hidden="1">{#N/A,#N/A,FALSE,"MD";#N/A,#N/A,FALSE,"AL";#N/A,#N/A,FALSE,"PR";#N/A,#N/A,FALSE,"RU";#N/A,#N/A,FALSE,"SP";#N/A,#N/A,FALSE,"Z"}</definedName>
    <definedName name="김애댕" hidden="1">{#N/A,#N/A,FALSE,"MD";#N/A,#N/A,FALSE,"AL";#N/A,#N/A,FALSE,"PR";#N/A,#N/A,FALSE,"RU";#N/A,#N/A,FALSE,"SP";#N/A,#N/A,FALSE,"Z"}</definedName>
    <definedName name="김앵" hidden="1">{#N/A,#N/A,FALSE,"MD";#N/A,#N/A,FALSE,"AL";#N/A,#N/A,FALSE,"PR";#N/A,#N/A,FALSE,"RU";#N/A,#N/A,FALSE,"SP";#N/A,#N/A,FALSE,"Z"}</definedName>
    <definedName name="김태제" hidden="1">{#N/A,#N/A,FALSE,"MD";#N/A,#N/A,FALSE,"AL";#N/A,#N/A,FALSE,"PR";#N/A,#N/A,FALSE,"RU";#N/A,#N/A,FALSE,"SP";#N/A,#N/A,FALSE,"Z"}</definedName>
    <definedName name="김현수" hidden="1">{#N/A,#N/A,FALSE,"MD";#N/A,#N/A,FALSE,"AL";#N/A,#N/A,FALSE,"PR";#N/A,#N/A,FALSE,"RU";#N/A,#N/A,FALSE,"SP";#N/A,#N/A,FALSE,"Z"}</definedName>
    <definedName name="ㄴㄴ" hidden="1">{#N/A,#N/A,FALSE,"MD";#N/A,#N/A,FALSE,"AL";#N/A,#N/A,FALSE,"PR";#N/A,#N/A,FALSE,"RU";#N/A,#N/A,FALSE,"SP";#N/A,#N/A,FALSE,"Z"}</definedName>
    <definedName name="ㄴㄴㄴ" localSheetId="0" hidden="1">#REF!</definedName>
    <definedName name="ㄴㄴㄴ" localSheetId="1" hidden="1">#REF!</definedName>
    <definedName name="ㄴㄴㄴ" hidden="1">#REF!</definedName>
    <definedName name="ㄴㅇㄹ" hidden="1">{#N/A,#N/A,FALSE,"MD";#N/A,#N/A,FALSE,"AL";#N/A,#N/A,FALSE,"PR";#N/A,#N/A,FALSE,"RU";#N/A,#N/A,FALSE,"SP";#N/A,#N/A,FALSE,"Z"}</definedName>
    <definedName name="ㄴㅇㄻ" localSheetId="0" hidden="1">#REF!</definedName>
    <definedName name="ㄴㅇㄻ" localSheetId="1" hidden="1">#REF!</definedName>
    <definedName name="ㄴㅇㄻ" hidden="1">#REF!</definedName>
    <definedName name="내용" hidden="1">{#N/A,#N/A,FALSE,"MD";#N/A,#N/A,FALSE,"AL";#N/A,#N/A,FALSE,"PR";#N/A,#N/A,FALSE,"RU";#N/A,#N/A,FALSE,"SP";#N/A,#N/A,FALSE,"Z"}</definedName>
    <definedName name="노무현" hidden="1">{#N/A,#N/A,FALSE,"MD";#N/A,#N/A,FALSE,"AL";#N/A,#N/A,FALSE,"PR";#N/A,#N/A,FALSE,"RU";#N/A,#N/A,FALSE,"SP";#N/A,#N/A,FALSE,"Z"}</definedName>
    <definedName name="노태우" hidden="1">{#N/A,#N/A,FALSE,"MD";#N/A,#N/A,FALSE,"AL";#N/A,#N/A,FALSE,"PR";#N/A,#N/A,FALSE,"RU";#N/A,#N/A,FALSE,"SP";#N/A,#N/A,FALSE,"Z"}</definedName>
    <definedName name="ㄷㄷ" hidden="1">{#N/A,#N/A,FALSE,"MD";#N/A,#N/A,FALSE,"AL";#N/A,#N/A,FALSE,"PR";#N/A,#N/A,FALSE,"RU";#N/A,#N/A,FALSE,"SP";#N/A,#N/A,FALSE,"Z"}</definedName>
    <definedName name="ㄷㅅㄱ" hidden="1">{#N/A,#N/A,FALSE,"MD";#N/A,#N/A,FALSE,"AL";#N/A,#N/A,FALSE,"PR";#N/A,#N/A,FALSE,"RU";#N/A,#N/A,FALSE,"SP";#N/A,#N/A,FALSE,"Z"}</definedName>
    <definedName name="ㄹㅇㄴㅁ" hidden="1">{#N/A,#N/A,FALSE,"MD";#N/A,#N/A,FALSE,"AL";#N/A,#N/A,FALSE,"PR";#N/A,#N/A,FALSE,"RU";#N/A,#N/A,FALSE,"SP";#N/A,#N/A,FALSE,"Z"}</definedName>
    <definedName name="ㄹㅇㄹㄴ" hidden="1">{#N/A,#N/A,FALSE,"MD";#N/A,#N/A,FALSE,"AL";#N/A,#N/A,FALSE,"PR";#N/A,#N/A,FALSE,"RU";#N/A,#N/A,FALSE,"SP";#N/A,#N/A,FALSE,"Z"}</definedName>
    <definedName name="ㄻ나ㅑㅎ" hidden="1">{#N/A,#N/A,FALSE,"MD";#N/A,#N/A,FALSE,"AL";#N/A,#N/A,FALSE,"PR";#N/A,#N/A,FALSE,"RU";#N/A,#N/A,FALSE,"SP";#N/A,#N/A,FALSE,"Z"}</definedName>
    <definedName name="ㅁㄷㅎㄹㅇ" hidden="1">{#N/A,#N/A,FALSE,"MD";#N/A,#N/A,FALSE,"AL";#N/A,#N/A,FALSE,"PR";#N/A,#N/A,FALSE,"RU";#N/A,#N/A,FALSE,"SP";#N/A,#N/A,FALSE,"Z"}</definedName>
    <definedName name="ㅁㅎㅇㄴㅁ" hidden="1">{#N/A,#N/A,FALSE,"MD";#N/A,#N/A,FALSE,"AL";#N/A,#N/A,FALSE,"PR";#N/A,#N/A,FALSE,"RU";#N/A,#N/A,FALSE,"SP";#N/A,#N/A,FALSE,"Z"}</definedName>
    <definedName name="박종흠" hidden="1">{#N/A,#N/A,FALSE,"MD";#N/A,#N/A,FALSE,"AL";#N/A,#N/A,FALSE,"PR";#N/A,#N/A,FALSE,"RU";#N/A,#N/A,FALSE,"SP";#N/A,#N/A,FALSE,"Z"}</definedName>
    <definedName name="ㅅㅅ" hidden="1">{#N/A,#N/A,FALSE,"MD";#N/A,#N/A,FALSE,"AL";#N/A,#N/A,FALSE,"PR";#N/A,#N/A,FALSE,"RU";#N/A,#N/A,FALSE,"SP";#N/A,#N/A,FALSE,"Z"}</definedName>
    <definedName name="신승열" hidden="1">{#N/A,#N/A,FALSE,"MD";#N/A,#N/A,FALSE,"AL";#N/A,#N/A,FALSE,"PR";#N/A,#N/A,FALSE,"RU";#N/A,#N/A,FALSE,"SP";#N/A,#N/A,FALSE,"Z"}</definedName>
    <definedName name="ㅇㄹㅇ" hidden="1">{#N/A,#N/A,FALSE,"MD";#N/A,#N/A,FALSE,"AL";#N/A,#N/A,FALSE,"PR";#N/A,#N/A,FALSE,"RU";#N/A,#N/A,FALSE,"SP";#N/A,#N/A,FALSE,"Z"}</definedName>
    <definedName name="ㅇㄹㅇㅇ" hidden="1">{#N/A,#N/A,FALSE,"MD";#N/A,#N/A,FALSE,"AL";#N/A,#N/A,FALSE,"PR";#N/A,#N/A,FALSE,"RU";#N/A,#N/A,FALSE,"SP";#N/A,#N/A,FALSE,"Z"}</definedName>
    <definedName name="앙" hidden="1">{#N/A,#N/A,FALSE,"MD";#N/A,#N/A,FALSE,"AL";#N/A,#N/A,FALSE,"PR";#N/A,#N/A,FALSE,"RU";#N/A,#N/A,FALSE,"SP";#N/A,#N/A,FALSE,"Z"}</definedName>
    <definedName name="영상2" hidden="1">{#N/A,#N/A,FALSE,"MD";#N/A,#N/A,FALSE,"AL";#N/A,#N/A,FALSE,"PR";#N/A,#N/A,FALSE,"RU";#N/A,#N/A,FALSE,"SP";#N/A,#N/A,FALSE,"Z"}</definedName>
    <definedName name="을" hidden="1">{#N/A,#N/A,FALSE,"운반시간"}</definedName>
    <definedName name="이대영" hidden="1">{#N/A,#N/A,FALSE,"MD";#N/A,#N/A,FALSE,"AL";#N/A,#N/A,FALSE,"PR";#N/A,#N/A,FALSE,"RU";#N/A,#N/A,FALSE,"SP";#N/A,#N/A,FALSE,"Z"}</definedName>
    <definedName name="이양경" hidden="1">{#N/A,#N/A,FALSE,"MD";#N/A,#N/A,FALSE,"AL";#N/A,#N/A,FALSE,"PR";#N/A,#N/A,FALSE,"RU";#N/A,#N/A,FALSE,"SP";#N/A,#N/A,FALSE,"Z"}</definedName>
    <definedName name="이정화" hidden="1">{#N/A,#N/A,FALSE,"MD";#N/A,#N/A,FALSE,"AL";#N/A,#N/A,FALSE,"PR";#N/A,#N/A,FALSE,"RU";#N/A,#N/A,FALSE,"SP";#N/A,#N/A,FALSE,"Z"}</definedName>
    <definedName name="이중구" hidden="1">{#N/A,#N/A,FALSE,"MD";#N/A,#N/A,FALSE,"AL";#N/A,#N/A,FALSE,"PR";#N/A,#N/A,FALSE,"RU";#N/A,#N/A,FALSE,"SP";#N/A,#N/A,FALSE,"Z"}</definedName>
    <definedName name="이회창" hidden="1">{#N/A,#N/A,FALSE,"MD";#N/A,#N/A,FALSE,"AL";#N/A,#N/A,FALSE,"PR";#N/A,#N/A,FALSE,"RU";#N/A,#N/A,FALSE,"SP";#N/A,#N/A,FALSE,"Z"}</definedName>
    <definedName name="ㅈ" hidden="1">{#N/A,#N/A,FALSE,"MD";#N/A,#N/A,FALSE,"AL";#N/A,#N/A,FALSE,"PR";#N/A,#N/A,FALSE,"RU";#N/A,#N/A,FALSE,"SP";#N/A,#N/A,FALSE,"Z"}</definedName>
    <definedName name="장소별" hidden="1">{#N/A,#N/A,FALSE,"MD";#N/A,#N/A,FALSE,"AL";#N/A,#N/A,FALSE,"PR";#N/A,#N/A,FALSE,"RU";#N/A,#N/A,FALSE,"SP";#N/A,#N/A,FALSE,"Z"}</definedName>
    <definedName name="정몽준" hidden="1">{#N/A,#N/A,FALSE,"MD";#N/A,#N/A,FALSE,"AL";#N/A,#N/A,FALSE,"PR";#N/A,#N/A,FALSE,"RU";#N/A,#N/A,FALSE,"SP";#N/A,#N/A,FALSE,"Z"}</definedName>
    <definedName name="정희진" hidden="1">{#N/A,#N/A,FALSE,"MD";#N/A,#N/A,FALSE,"AL";#N/A,#N/A,FALSE,"PR";#N/A,#N/A,FALSE,"RU";#N/A,#N/A,FALSE,"SP";#N/A,#N/A,FALSE,"Z"}</definedName>
    <definedName name="최용암" hidden="1">{#N/A,#N/A,FALSE,"MD";#N/A,#N/A,FALSE,"AL";#N/A,#N/A,FALSE,"PR";#N/A,#N/A,FALSE,"RU";#N/A,#N/A,FALSE,"SP";#N/A,#N/A,FALSE,"Z"}</definedName>
    <definedName name="토목설계" hidden="1">{#N/A,#N/A,FALSE,"골재소요량";#N/A,#N/A,FALSE,"골재소요량"}</definedName>
    <definedName name="ㅎㄹㄴ옿ㅇㄹ" hidden="1">{#N/A,#N/A,FALSE,"MD";#N/A,#N/A,FALSE,"AL";#N/A,#N/A,FALSE,"PR";#N/A,#N/A,FALSE,"RU";#N/A,#N/A,FALSE,"SP";#N/A,#N/A,FALSE,"Z"}</definedName>
    <definedName name="ㅎㄹㅇㅁ" hidden="1">{#N/A,#N/A,FALSE,"MD";#N/A,#N/A,FALSE,"AL";#N/A,#N/A,FALSE,"PR";#N/A,#N/A,FALSE,"RU";#N/A,#N/A,FALSE,"SP";#N/A,#N/A,FALSE,"Z"}</definedName>
    <definedName name="ㅎㅎㅎ" hidden="1">{#N/A,#N/A,FALSE,"MD";#N/A,#N/A,FALSE,"AL";#N/A,#N/A,FALSE,"PR";#N/A,#N/A,FALSE,"RU";#N/A,#N/A,FALSE,"SP";#N/A,#N/A,FALSE,"Z"}</definedName>
    <definedName name="홍길동" hidden="1">{#N/A,#N/A,FALSE,"MD";#N/A,#N/A,FALSE,"AL";#N/A,#N/A,FALSE,"PR";#N/A,#N/A,FALSE,"RU";#N/A,#N/A,FALSE,"SP";#N/A,#N/A,FALSE,"Z"}</definedName>
    <definedName name="홍세완" hidden="1">{#N/A,#N/A,FALSE,"MD";#N/A,#N/A,FALSE,"AL";#N/A,#N/A,FALSE,"PR";#N/A,#N/A,FALSE,"RU";#N/A,#N/A,FALSE,"SP";#N/A,#N/A,FALSE,"Z"}</definedName>
    <definedName name="황백" hidden="1">{#N/A,#N/A,FALSE,"MD";#N/A,#N/A,FALSE,"AL";#N/A,#N/A,FALSE,"PR";#N/A,#N/A,FALSE,"RU";#N/A,#N/A,FALSE,"SP";#N/A,#N/A,FALSE,"Z"}</definedName>
    <definedName name="ㅏㅏㅏ" hidden="1">{#N/A,#N/A,FALSE,"MD";#N/A,#N/A,FALSE,"AL";#N/A,#N/A,FALSE,"PR";#N/A,#N/A,FALSE,"RU";#N/A,#N/A,FALSE,"SP";#N/A,#N/A,FALSE,"Z"}</definedName>
    <definedName name="ㅏㅓㅓㅏ" hidden="1">{#N/A,#N/A,FALSE,"MD";#N/A,#N/A,FALSE,"AL";#N/A,#N/A,FALSE,"PR";#N/A,#N/A,FALSE,"RU";#N/A,#N/A,FALSE,"SP";#N/A,#N/A,FALSE,"Z"}</definedName>
    <definedName name="ㅑㅑ" hidden="1">{#N/A,#N/A,FALSE,"MD";#N/A,#N/A,FALSE,"AL";#N/A,#N/A,FALSE,"PR";#N/A,#N/A,FALSE,"RU";#N/A,#N/A,FALSE,"SP";#N/A,#N/A,FALSE,"Z"}</definedName>
    <definedName name="ㅔㅔㅔ" hidden="1">{#N/A,#N/A,FALSE,"MD";#N/A,#N/A,FALSE,"AL";#N/A,#N/A,FALSE,"PR";#N/A,#N/A,FALSE,"RU";#N/A,#N/A,FALSE,"SP";#N/A,#N/A,FALSE,"Z"}</definedName>
    <definedName name="ㅕㅕㅕ" hidden="1">{#N/A,#N/A,FALSE,"MD";#N/A,#N/A,FALSE,"AL";#N/A,#N/A,FALSE,"PR";#N/A,#N/A,FALSE,"RU";#N/A,#N/A,FALSE,"SP";#N/A,#N/A,FALSE,"Z"}</definedName>
    <definedName name="ㅗㅎ" hidden="1">{#N/A,#N/A,FALSE,"MD";#N/A,#N/A,FALSE,"AL";#N/A,#N/A,FALSE,"PR";#N/A,#N/A,FALSE,"RU";#N/A,#N/A,FALSE,"SP";#N/A,#N/A,FALSE,"Z"}</definedName>
    <definedName name="ㅗㅗ" hidden="1">{#N/A,#N/A,FALSE,"MD";#N/A,#N/A,FALSE,"AL";#N/A,#N/A,FALSE,"PR";#N/A,#N/A,FALSE,"RU";#N/A,#N/A,FALSE,"SP";#N/A,#N/A,FALSE,"Z"}</definedName>
    <definedName name="ㅜ" hidden="1">{#N/A,#N/A,FALSE,"MD";#N/A,#N/A,FALSE,"AL";#N/A,#N/A,FALSE,"PR";#N/A,#N/A,FALSE,"RU";#N/A,#N/A,FALSE,"SP";#N/A,#N/A,FALSE,"Z"}</definedName>
    <definedName name="ㅣㅑㅑ" hidden="1">{#N/A,#N/A,FALSE,"단가표지"}</definedName>
    <definedName name="ㅣㅣ" hidden="1">{#N/A,#N/A,FALSE,"MD";#N/A,#N/A,FALSE,"AL";#N/A,#N/A,FALSE,"PR";#N/A,#N/A,FALSE,"RU";#N/A,#N/A,FALSE,"SP";#N/A,#N/A,FALSE,"Z"}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N10" i="21" l="1"/>
  <c r="N9" i="21"/>
  <c r="N8" i="21"/>
  <c r="N7" i="21"/>
  <c r="N12" i="21" s="1"/>
  <c r="N6" i="21"/>
  <c r="N5" i="21"/>
  <c r="N4" i="21"/>
  <c r="N3" i="21"/>
  <c r="N2" i="21"/>
  <c r="H3" i="21"/>
  <c r="H4" i="21"/>
  <c r="H5" i="21"/>
  <c r="H6" i="21"/>
  <c r="H7" i="21"/>
  <c r="H8" i="21"/>
  <c r="H9" i="21"/>
  <c r="H10" i="21"/>
  <c r="H2" i="21"/>
  <c r="P12" i="21"/>
  <c r="O12" i="21"/>
  <c r="M12" i="21"/>
  <c r="L12" i="21"/>
  <c r="K12" i="21"/>
  <c r="J12" i="21"/>
  <c r="I12" i="21"/>
  <c r="O38" i="18" l="1"/>
  <c r="M38" i="18"/>
  <c r="L38" i="18"/>
  <c r="K38" i="18"/>
  <c r="J38" i="18"/>
  <c r="I38" i="18"/>
  <c r="H38" i="18"/>
  <c r="G38" i="18"/>
  <c r="F38" i="18"/>
  <c r="E38" i="18"/>
  <c r="Q37" i="18"/>
  <c r="Q36" i="18"/>
  <c r="Q35" i="18"/>
  <c r="Q34" i="18"/>
  <c r="P38" i="18"/>
  <c r="N38" i="18"/>
  <c r="P32" i="18"/>
  <c r="P39" i="18" s="1"/>
  <c r="M32" i="18"/>
  <c r="M39" i="18" s="1"/>
  <c r="L32" i="18"/>
  <c r="L39" i="18" s="1"/>
  <c r="K32" i="18"/>
  <c r="K39" i="18" s="1"/>
  <c r="J32" i="18"/>
  <c r="J39" i="18" s="1"/>
  <c r="I32" i="18"/>
  <c r="I39" i="18" s="1"/>
  <c r="H32" i="18"/>
  <c r="H39" i="18" s="1"/>
  <c r="G32" i="18"/>
  <c r="G39" i="18" s="1"/>
  <c r="F32" i="18"/>
  <c r="F39" i="18" s="1"/>
  <c r="E32" i="18"/>
  <c r="E39" i="18" s="1"/>
  <c r="Q31" i="18"/>
  <c r="Q30" i="18"/>
  <c r="Q29" i="18"/>
  <c r="Q28" i="18"/>
  <c r="Q27" i="18"/>
  <c r="Q26" i="18"/>
  <c r="Q25" i="18"/>
  <c r="O32" i="18"/>
  <c r="O39" i="18" s="1"/>
  <c r="N32" i="18"/>
  <c r="N39" i="18" l="1"/>
  <c r="Q39" i="18" s="1"/>
  <c r="Q38" i="18"/>
  <c r="Q32" i="18"/>
  <c r="Q33" i="18"/>
  <c r="Q16" i="18" l="1"/>
  <c r="Q15" i="18"/>
  <c r="Q14" i="18"/>
  <c r="Q13" i="18"/>
  <c r="Q12" i="18"/>
  <c r="Q10" i="18"/>
  <c r="Q9" i="18"/>
  <c r="Q8" i="18"/>
  <c r="Q7" i="18"/>
  <c r="Q6" i="18"/>
  <c r="Q5" i="18"/>
  <c r="P135" i="18" l="1"/>
  <c r="O135" i="18"/>
  <c r="N135" i="18"/>
  <c r="M135" i="18"/>
  <c r="L135" i="18"/>
  <c r="J135" i="18"/>
  <c r="I135" i="18"/>
  <c r="H135" i="18"/>
  <c r="G135" i="18"/>
  <c r="F135" i="18"/>
  <c r="Q134" i="18"/>
  <c r="Q133" i="18"/>
  <c r="Q132" i="18"/>
  <c r="Q131" i="18"/>
  <c r="Q130" i="18"/>
  <c r="P129" i="18"/>
  <c r="O129" i="18"/>
  <c r="N129" i="18"/>
  <c r="M129" i="18"/>
  <c r="L129" i="18"/>
  <c r="K129" i="18"/>
  <c r="J129" i="18"/>
  <c r="J136" i="18" s="1"/>
  <c r="I129" i="18"/>
  <c r="I136" i="18" s="1"/>
  <c r="H129" i="18"/>
  <c r="H136" i="18" s="1"/>
  <c r="G129" i="18"/>
  <c r="G136" i="18" s="1"/>
  <c r="Q128" i="18"/>
  <c r="Q127" i="18"/>
  <c r="Q126" i="18"/>
  <c r="Q124" i="18"/>
  <c r="Q123" i="18"/>
  <c r="Q122" i="18"/>
  <c r="N136" i="18" l="1"/>
  <c r="O136" i="18"/>
  <c r="Q135" i="18"/>
  <c r="L136" i="18"/>
  <c r="P136" i="18"/>
  <c r="M136" i="18"/>
  <c r="Q129" i="18"/>
  <c r="Q136" i="18" l="1"/>
  <c r="S18" i="20"/>
  <c r="R18" i="20"/>
  <c r="Q18" i="20"/>
  <c r="P18" i="20"/>
  <c r="O18" i="20"/>
  <c r="L18" i="20"/>
  <c r="K18" i="20"/>
  <c r="J18" i="20"/>
  <c r="I18" i="20"/>
  <c r="H18" i="20"/>
  <c r="F18" i="20"/>
  <c r="P12" i="20"/>
  <c r="P10" i="20"/>
  <c r="S9" i="20"/>
  <c r="R9" i="20"/>
  <c r="Q9" i="20"/>
  <c r="Q13" i="20" s="1"/>
  <c r="P9" i="20"/>
  <c r="P13" i="20" s="1"/>
  <c r="O9" i="20"/>
  <c r="L9" i="20"/>
  <c r="L13" i="20" s="1"/>
  <c r="K9" i="20"/>
  <c r="J9" i="20"/>
  <c r="I9" i="20"/>
  <c r="I13" i="20" s="1"/>
  <c r="H9" i="20"/>
  <c r="H13" i="20" s="1"/>
  <c r="F9" i="20"/>
  <c r="V6" i="20"/>
  <c r="N6" i="20"/>
  <c r="N18" i="20" s="1"/>
  <c r="G6" i="20"/>
  <c r="G18" i="20" s="1"/>
  <c r="M6" i="20" l="1"/>
  <c r="M18" i="20" s="1"/>
  <c r="L10" i="20"/>
  <c r="N9" i="20"/>
  <c r="N13" i="20" s="1"/>
  <c r="H14" i="20"/>
  <c r="H12" i="20"/>
  <c r="L14" i="20"/>
  <c r="P15" i="20"/>
  <c r="P16" i="20" s="1"/>
  <c r="P19" i="20" s="1"/>
  <c r="H10" i="20"/>
  <c r="L12" i="20"/>
  <c r="P14" i="20"/>
  <c r="N48" i="18"/>
  <c r="O48" i="18"/>
  <c r="P48" i="18"/>
  <c r="H15" i="20"/>
  <c r="H16" i="20"/>
  <c r="H19" i="20" s="1"/>
  <c r="L15" i="20"/>
  <c r="L16" i="20" s="1"/>
  <c r="L19" i="20" s="1"/>
  <c r="J13" i="20"/>
  <c r="G9" i="20"/>
  <c r="I10" i="20"/>
  <c r="I11" i="20" s="1"/>
  <c r="Q10" i="20"/>
  <c r="Q11" i="20" s="1"/>
  <c r="I12" i="20"/>
  <c r="Q12" i="20"/>
  <c r="K13" i="20"/>
  <c r="O13" i="20"/>
  <c r="S13" i="20"/>
  <c r="I14" i="20"/>
  <c r="Q14" i="20"/>
  <c r="F13" i="20"/>
  <c r="R13" i="20"/>
  <c r="F10" i="20"/>
  <c r="J10" i="20"/>
  <c r="J11" i="20" s="1"/>
  <c r="R10" i="20"/>
  <c r="R11" i="20" s="1"/>
  <c r="H11" i="20"/>
  <c r="L11" i="20"/>
  <c r="P11" i="20"/>
  <c r="F12" i="20"/>
  <c r="J12" i="20"/>
  <c r="N12" i="20"/>
  <c r="R12" i="20"/>
  <c r="F14" i="20"/>
  <c r="J14" i="20"/>
  <c r="N14" i="20"/>
  <c r="R14" i="20"/>
  <c r="M9" i="20"/>
  <c r="K10" i="20"/>
  <c r="O10" i="20"/>
  <c r="O11" i="20" s="1"/>
  <c r="S10" i="20"/>
  <c r="K12" i="20"/>
  <c r="O12" i="20"/>
  <c r="S12" i="20"/>
  <c r="K14" i="20"/>
  <c r="O14" i="20"/>
  <c r="S14" i="20"/>
  <c r="K15" i="20" l="1"/>
  <c r="K16" i="20"/>
  <c r="K19" i="20" s="1"/>
  <c r="S15" i="20"/>
  <c r="S16" i="20"/>
  <c r="S19" i="20" s="1"/>
  <c r="S21" i="20" s="1"/>
  <c r="N10" i="20"/>
  <c r="N11" i="20" s="1"/>
  <c r="S11" i="20"/>
  <c r="Q48" i="18"/>
  <c r="P67" i="18"/>
  <c r="N67" i="18"/>
  <c r="O67" i="18"/>
  <c r="K21" i="20"/>
  <c r="K20" i="20"/>
  <c r="F16" i="20"/>
  <c r="F19" i="20" s="1"/>
  <c r="L20" i="20"/>
  <c r="L21" i="20"/>
  <c r="S20" i="20"/>
  <c r="J15" i="20"/>
  <c r="J16" i="20" s="1"/>
  <c r="J19" i="20" s="1"/>
  <c r="F15" i="20"/>
  <c r="G14" i="20"/>
  <c r="G12" i="20"/>
  <c r="G10" i="20"/>
  <c r="G13" i="20"/>
  <c r="G11" i="20"/>
  <c r="F11" i="20"/>
  <c r="M13" i="20"/>
  <c r="M14" i="20"/>
  <c r="M12" i="20"/>
  <c r="M10" i="20"/>
  <c r="M11" i="20" s="1"/>
  <c r="R15" i="20"/>
  <c r="Q15" i="20"/>
  <c r="Q16" i="20" s="1"/>
  <c r="Q19" i="20" s="1"/>
  <c r="K11" i="20"/>
  <c r="H21" i="20"/>
  <c r="H20" i="20"/>
  <c r="P20" i="20"/>
  <c r="P21" i="20"/>
  <c r="O15" i="20"/>
  <c r="O16" i="20" s="1"/>
  <c r="O19" i="20" s="1"/>
  <c r="R16" i="20"/>
  <c r="R19" i="20" s="1"/>
  <c r="N15" i="20"/>
  <c r="N16" i="20" s="1"/>
  <c r="N19" i="20" s="1"/>
  <c r="I15" i="20"/>
  <c r="I16" i="20" s="1"/>
  <c r="I19" i="20" s="1"/>
  <c r="Q67" i="18" l="1"/>
  <c r="N86" i="18"/>
  <c r="O86" i="18"/>
  <c r="P86" i="18"/>
  <c r="O21" i="20"/>
  <c r="O20" i="20"/>
  <c r="F21" i="20"/>
  <c r="F20" i="20"/>
  <c r="R21" i="20"/>
  <c r="R20" i="20"/>
  <c r="J21" i="20"/>
  <c r="J20" i="20"/>
  <c r="I20" i="20"/>
  <c r="I21" i="20"/>
  <c r="M15" i="20"/>
  <c r="M16" i="20" s="1"/>
  <c r="M19" i="20" s="1"/>
  <c r="N20" i="20"/>
  <c r="N21" i="20"/>
  <c r="Q20" i="20"/>
  <c r="Q21" i="20"/>
  <c r="G15" i="20"/>
  <c r="G16" i="20" s="1"/>
  <c r="G19" i="20" s="1"/>
  <c r="M20" i="20" l="1"/>
  <c r="M21" i="20"/>
  <c r="G21" i="20"/>
  <c r="G20" i="20"/>
  <c r="P172" i="18" l="1"/>
  <c r="O172" i="18"/>
  <c r="N172" i="18"/>
  <c r="M172" i="18"/>
  <c r="L172" i="18"/>
  <c r="K172" i="18"/>
  <c r="J172" i="18"/>
  <c r="I172" i="18"/>
  <c r="H172" i="18"/>
  <c r="G172" i="18"/>
  <c r="F172" i="18"/>
  <c r="E172" i="18"/>
  <c r="Q171" i="18"/>
  <c r="Q170" i="18"/>
  <c r="Q169" i="18"/>
  <c r="Q168" i="18"/>
  <c r="Q167" i="18"/>
  <c r="P166" i="18"/>
  <c r="P173" i="18" s="1"/>
  <c r="O166" i="18"/>
  <c r="N166" i="18"/>
  <c r="M166" i="18"/>
  <c r="L166" i="18"/>
  <c r="L173" i="18" s="1"/>
  <c r="K166" i="18"/>
  <c r="J166" i="18"/>
  <c r="I166" i="18"/>
  <c r="H166" i="18"/>
  <c r="H173" i="18" s="1"/>
  <c r="G166" i="18"/>
  <c r="F166" i="18"/>
  <c r="E166" i="18"/>
  <c r="Q165" i="18"/>
  <c r="Q164" i="18"/>
  <c r="Q163" i="18"/>
  <c r="Q162" i="18"/>
  <c r="Q161" i="18"/>
  <c r="Q160" i="18"/>
  <c r="E173" i="18" l="1"/>
  <c r="F173" i="18"/>
  <c r="J173" i="18"/>
  <c r="N173" i="18"/>
  <c r="I173" i="18"/>
  <c r="M173" i="18"/>
  <c r="Q172" i="18"/>
  <c r="G173" i="18"/>
  <c r="K173" i="18"/>
  <c r="O173" i="18"/>
  <c r="Q166" i="18"/>
  <c r="R18" i="19"/>
  <c r="Q18" i="19"/>
  <c r="P18" i="19"/>
  <c r="O18" i="19"/>
  <c r="F18" i="19"/>
  <c r="R9" i="19"/>
  <c r="R14" i="19" s="1"/>
  <c r="Q9" i="19"/>
  <c r="Q11" i="19" s="1"/>
  <c r="P9" i="19"/>
  <c r="O9" i="19"/>
  <c r="O13" i="19" s="1"/>
  <c r="F9" i="19"/>
  <c r="F14" i="19" s="1"/>
  <c r="U6" i="19"/>
  <c r="L6" i="19"/>
  <c r="L18" i="19" s="1"/>
  <c r="K6" i="19"/>
  <c r="K18" i="19" s="1"/>
  <c r="J6" i="19"/>
  <c r="J18" i="19" s="1"/>
  <c r="I6" i="19"/>
  <c r="I9" i="19" s="1"/>
  <c r="H6" i="19"/>
  <c r="H9" i="19" s="1"/>
  <c r="Q12" i="19" l="1"/>
  <c r="H18" i="19"/>
  <c r="G6" i="19"/>
  <c r="G18" i="19" s="1"/>
  <c r="Q173" i="18"/>
  <c r="L9" i="19"/>
  <c r="L14" i="19" s="1"/>
  <c r="I23" i="19"/>
  <c r="N6" i="19"/>
  <c r="N18" i="19" s="1"/>
  <c r="I12" i="19"/>
  <c r="R11" i="19"/>
  <c r="R12" i="19"/>
  <c r="I18" i="19"/>
  <c r="O11" i="19"/>
  <c r="F12" i="19"/>
  <c r="O14" i="19"/>
  <c r="H13" i="19"/>
  <c r="P13" i="19"/>
  <c r="I13" i="19"/>
  <c r="Q13" i="19"/>
  <c r="J9" i="19"/>
  <c r="N9" i="19"/>
  <c r="I10" i="19"/>
  <c r="P11" i="19"/>
  <c r="O12" i="19"/>
  <c r="O15" i="19" s="1"/>
  <c r="F13" i="19"/>
  <c r="F15" i="19" s="1"/>
  <c r="R13" i="19"/>
  <c r="I14" i="19"/>
  <c r="Q14" i="19"/>
  <c r="O16" i="19"/>
  <c r="O19" i="19" s="1"/>
  <c r="H23" i="19"/>
  <c r="H10" i="19"/>
  <c r="H11" i="19" s="1"/>
  <c r="H14" i="19"/>
  <c r="P14" i="19"/>
  <c r="M6" i="19"/>
  <c r="K9" i="19"/>
  <c r="F10" i="19"/>
  <c r="I11" i="19"/>
  <c r="H12" i="19"/>
  <c r="P12" i="19"/>
  <c r="G9" i="19" l="1"/>
  <c r="R15" i="19"/>
  <c r="R16" i="19" s="1"/>
  <c r="R19" i="19" s="1"/>
  <c r="L12" i="19"/>
  <c r="H15" i="19"/>
  <c r="H16" i="19" s="1"/>
  <c r="H19" i="19" s="1"/>
  <c r="H20" i="19" s="1"/>
  <c r="L10" i="19"/>
  <c r="L11" i="19" s="1"/>
  <c r="L13" i="19"/>
  <c r="P15" i="19"/>
  <c r="P16" i="19" s="1"/>
  <c r="P19" i="19" s="1"/>
  <c r="P21" i="19" s="1"/>
  <c r="I15" i="19"/>
  <c r="I16" i="19" s="1"/>
  <c r="I19" i="19" s="1"/>
  <c r="Q15" i="19"/>
  <c r="Q16" i="19" s="1"/>
  <c r="Q19" i="19" s="1"/>
  <c r="Q20" i="19" s="1"/>
  <c r="P20" i="19"/>
  <c r="H21" i="19"/>
  <c r="F16" i="19"/>
  <c r="F19" i="19" s="1"/>
  <c r="F11" i="19"/>
  <c r="N14" i="19"/>
  <c r="N10" i="19"/>
  <c r="N11" i="19" s="1"/>
  <c r="N13" i="19"/>
  <c r="N12" i="19"/>
  <c r="K13" i="19"/>
  <c r="K10" i="19"/>
  <c r="K11" i="19" s="1"/>
  <c r="K12" i="19"/>
  <c r="K14" i="19"/>
  <c r="R21" i="19"/>
  <c r="R20" i="19"/>
  <c r="J14" i="19"/>
  <c r="J10" i="19"/>
  <c r="J11" i="19" s="1"/>
  <c r="J13" i="19"/>
  <c r="J12" i="19"/>
  <c r="G13" i="19"/>
  <c r="G10" i="19"/>
  <c r="G11" i="19" s="1"/>
  <c r="G12" i="19"/>
  <c r="G14" i="19"/>
  <c r="O21" i="19"/>
  <c r="O20" i="19"/>
  <c r="M9" i="19"/>
  <c r="M18" i="19"/>
  <c r="Q21" i="19" l="1"/>
  <c r="L15" i="19"/>
  <c r="L16" i="19" s="1"/>
  <c r="L19" i="19" s="1"/>
  <c r="G15" i="19"/>
  <c r="G16" i="19" s="1"/>
  <c r="G19" i="19" s="1"/>
  <c r="K15" i="19"/>
  <c r="K16" i="19" s="1"/>
  <c r="K19" i="19" s="1"/>
  <c r="J15" i="19"/>
  <c r="J16" i="19" s="1"/>
  <c r="J19" i="19" s="1"/>
  <c r="L21" i="19"/>
  <c r="L20" i="19"/>
  <c r="M13" i="19"/>
  <c r="M12" i="19"/>
  <c r="M14" i="19"/>
  <c r="M10" i="19"/>
  <c r="M11" i="19" s="1"/>
  <c r="F21" i="19"/>
  <c r="F20" i="19"/>
  <c r="I20" i="19"/>
  <c r="I21" i="19"/>
  <c r="N15" i="19"/>
  <c r="N16" i="19" s="1"/>
  <c r="N19" i="19" s="1"/>
  <c r="M15" i="19" l="1"/>
  <c r="M16" i="19" s="1"/>
  <c r="M19" i="19" s="1"/>
  <c r="M20" i="19" s="1"/>
  <c r="G21" i="19"/>
  <c r="G20" i="19"/>
  <c r="N21" i="19"/>
  <c r="N20" i="19"/>
  <c r="J20" i="19"/>
  <c r="J21" i="19"/>
  <c r="K21" i="19"/>
  <c r="K20" i="19"/>
  <c r="M21" i="19" l="1"/>
  <c r="Q109" i="18" l="1"/>
  <c r="Q108" i="18"/>
  <c r="N17" i="18"/>
  <c r="M17" i="18"/>
  <c r="L17" i="18"/>
  <c r="K17" i="18"/>
  <c r="J17" i="18"/>
  <c r="I17" i="18"/>
  <c r="H17" i="18"/>
  <c r="G17" i="18"/>
  <c r="F17" i="18"/>
  <c r="E17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Q11" i="18" l="1"/>
  <c r="K135" i="18"/>
  <c r="K136" i="18" s="1"/>
  <c r="E135" i="18"/>
  <c r="E18" i="18"/>
  <c r="I18" i="18"/>
  <c r="H18" i="18"/>
  <c r="L18" i="18"/>
  <c r="G18" i="18"/>
  <c r="K18" i="18"/>
  <c r="F18" i="18"/>
  <c r="N18" i="18"/>
  <c r="J18" i="18"/>
  <c r="O17" i="18"/>
  <c r="O18" i="18" s="1"/>
  <c r="M18" i="18"/>
  <c r="P17" i="18"/>
  <c r="Q17" i="18" l="1"/>
  <c r="P18" i="18"/>
  <c r="Q18" i="18" s="1"/>
  <c r="O53" i="18" l="1"/>
  <c r="N53" i="18"/>
  <c r="P53" i="18"/>
  <c r="N55" i="18"/>
  <c r="O55" i="18"/>
  <c r="P55" i="18"/>
  <c r="O57" i="18"/>
  <c r="P57" i="18"/>
  <c r="N57" i="18"/>
  <c r="P54" i="18"/>
  <c r="N54" i="18"/>
  <c r="O54" i="18"/>
  <c r="N56" i="18"/>
  <c r="O56" i="18"/>
  <c r="P56" i="18"/>
  <c r="O46" i="18"/>
  <c r="P46" i="18"/>
  <c r="N46" i="18"/>
  <c r="N49" i="18"/>
  <c r="O49" i="18"/>
  <c r="P49" i="18"/>
  <c r="P47" i="18"/>
  <c r="N47" i="18"/>
  <c r="O47" i="18"/>
  <c r="N45" i="18"/>
  <c r="O45" i="18"/>
  <c r="P45" i="18"/>
  <c r="N72" i="18" l="1"/>
  <c r="O72" i="18"/>
  <c r="P72" i="18"/>
  <c r="Q49" i="18"/>
  <c r="O66" i="18"/>
  <c r="P66" i="18"/>
  <c r="N66" i="18"/>
  <c r="O64" i="18"/>
  <c r="P64" i="18"/>
  <c r="N64" i="18"/>
  <c r="N68" i="18"/>
  <c r="O68" i="18"/>
  <c r="P68" i="18"/>
  <c r="N76" i="18" l="1"/>
  <c r="O76" i="18"/>
  <c r="P76" i="18"/>
  <c r="O73" i="18"/>
  <c r="P73" i="18"/>
  <c r="N73" i="18"/>
  <c r="N92" i="18"/>
  <c r="P92" i="18"/>
  <c r="O92" i="18"/>
  <c r="O75" i="18"/>
  <c r="P75" i="18"/>
  <c r="N75" i="18"/>
  <c r="P91" i="18"/>
  <c r="O91" i="18"/>
  <c r="N91" i="18"/>
  <c r="P94" i="18"/>
  <c r="O94" i="18"/>
  <c r="N94" i="18"/>
  <c r="N95" i="18"/>
  <c r="O95" i="18"/>
  <c r="P95" i="18"/>
  <c r="P74" i="18"/>
  <c r="O74" i="18"/>
  <c r="N74" i="18"/>
  <c r="F129" i="18"/>
  <c r="F136" i="18" s="1"/>
  <c r="O93" i="18"/>
  <c r="N93" i="18"/>
  <c r="P93" i="18"/>
  <c r="N65" i="18"/>
  <c r="O65" i="18"/>
  <c r="P65" i="18"/>
  <c r="P51" i="18"/>
  <c r="N51" i="18"/>
  <c r="O51" i="18"/>
  <c r="O84" i="18"/>
  <c r="P84" i="18"/>
  <c r="N84" i="18"/>
  <c r="O50" i="18"/>
  <c r="P50" i="18"/>
  <c r="N50" i="18"/>
  <c r="N87" i="18"/>
  <c r="O87" i="18"/>
  <c r="P87" i="18"/>
  <c r="E110" i="18"/>
  <c r="P85" i="18"/>
  <c r="N85" i="18"/>
  <c r="O85" i="18"/>
  <c r="F83" i="18"/>
  <c r="J83" i="18"/>
  <c r="N83" i="18"/>
  <c r="G83" i="18"/>
  <c r="K83" i="18"/>
  <c r="O83" i="18"/>
  <c r="H83" i="18"/>
  <c r="L83" i="18"/>
  <c r="P83" i="18"/>
  <c r="E83" i="18"/>
  <c r="M83" i="18"/>
  <c r="I83" i="18"/>
  <c r="E129" i="18"/>
  <c r="E136" i="18" s="1"/>
  <c r="Q51" i="18" l="1"/>
  <c r="Q50" i="18"/>
  <c r="O70" i="18"/>
  <c r="N70" i="18"/>
  <c r="P70" i="18"/>
  <c r="Q83" i="18"/>
  <c r="Q143" i="18" l="1"/>
  <c r="N154" i="18"/>
  <c r="H154" i="18"/>
  <c r="K154" i="18"/>
  <c r="Q151" i="18"/>
  <c r="Q153" i="18"/>
  <c r="Q150" i="18"/>
  <c r="F154" i="18"/>
  <c r="J154" i="18"/>
  <c r="P154" i="18"/>
  <c r="L154" i="18"/>
  <c r="M154" i="18"/>
  <c r="G154" i="18"/>
  <c r="Q145" i="18"/>
  <c r="Q141" i="18"/>
  <c r="I154" i="18"/>
  <c r="O154" i="18"/>
  <c r="Q149" i="18"/>
  <c r="Q152" i="18"/>
  <c r="H89" i="18"/>
  <c r="L89" i="18"/>
  <c r="P89" i="18"/>
  <c r="I89" i="18"/>
  <c r="M89" i="18"/>
  <c r="E89" i="18"/>
  <c r="F89" i="18"/>
  <c r="J89" i="18"/>
  <c r="N89" i="18"/>
  <c r="O89" i="18"/>
  <c r="G89" i="18"/>
  <c r="K89" i="18"/>
  <c r="Q142" i="18"/>
  <c r="N69" i="18"/>
  <c r="O69" i="18"/>
  <c r="P69" i="18"/>
  <c r="G88" i="18"/>
  <c r="K88" i="18"/>
  <c r="K90" i="18" s="1"/>
  <c r="O88" i="18"/>
  <c r="H88" i="18"/>
  <c r="L88" i="18"/>
  <c r="P88" i="18"/>
  <c r="P90" i="18" s="1"/>
  <c r="I88" i="18"/>
  <c r="I90" i="18" s="1"/>
  <c r="M88" i="18"/>
  <c r="E88" i="18"/>
  <c r="E90" i="18" s="1"/>
  <c r="J88" i="18"/>
  <c r="J90" i="18" s="1"/>
  <c r="N88" i="18"/>
  <c r="F88" i="18"/>
  <c r="E71" i="18"/>
  <c r="Q70" i="18"/>
  <c r="G90" i="18" l="1"/>
  <c r="F90" i="18"/>
  <c r="N90" i="18"/>
  <c r="O90" i="18"/>
  <c r="Q69" i="18"/>
  <c r="M90" i="18"/>
  <c r="H90" i="18"/>
  <c r="Q154" i="18"/>
  <c r="H148" i="18"/>
  <c r="H155" i="18" s="1"/>
  <c r="P148" i="18"/>
  <c r="P155" i="18" s="1"/>
  <c r="Q88" i="18"/>
  <c r="L90" i="18"/>
  <c r="Q89" i="18"/>
  <c r="K71" i="18"/>
  <c r="G71" i="18"/>
  <c r="P110" i="18"/>
  <c r="L110" i="18"/>
  <c r="H110" i="18"/>
  <c r="N52" i="18"/>
  <c r="J52" i="18"/>
  <c r="M71" i="18"/>
  <c r="I71" i="18"/>
  <c r="P52" i="18"/>
  <c r="H52" i="18"/>
  <c r="H71" i="18"/>
  <c r="O52" i="18"/>
  <c r="K52" i="18"/>
  <c r="N71" i="18"/>
  <c r="J71" i="18"/>
  <c r="F71" i="18"/>
  <c r="O110" i="18"/>
  <c r="K110" i="18"/>
  <c r="G110" i="18"/>
  <c r="M52" i="18"/>
  <c r="I52" i="18"/>
  <c r="E52" i="18"/>
  <c r="E154" i="18" s="1"/>
  <c r="N110" i="18"/>
  <c r="J110" i="18"/>
  <c r="F110" i="18"/>
  <c r="M110" i="18"/>
  <c r="I110" i="18"/>
  <c r="G52" i="18"/>
  <c r="F52" i="18"/>
  <c r="O71" i="18"/>
  <c r="Q57" i="18"/>
  <c r="Q84" i="18"/>
  <c r="Q46" i="18"/>
  <c r="L52" i="18"/>
  <c r="Q47" i="18"/>
  <c r="Q65" i="18"/>
  <c r="L71" i="18"/>
  <c r="Q54" i="18"/>
  <c r="Q55" i="18"/>
  <c r="Q115" i="18"/>
  <c r="Q87" i="18"/>
  <c r="Q66" i="18"/>
  <c r="Q104" i="18"/>
  <c r="Q68" i="18"/>
  <c r="P71" i="18"/>
  <c r="Q105" i="18"/>
  <c r="Q90" i="18" l="1"/>
  <c r="J148" i="18"/>
  <c r="J155" i="18" s="1"/>
  <c r="L148" i="18"/>
  <c r="L155" i="18" s="1"/>
  <c r="E148" i="18"/>
  <c r="E155" i="18" s="1"/>
  <c r="G148" i="18"/>
  <c r="G155" i="18" s="1"/>
  <c r="I148" i="18"/>
  <c r="I155" i="18" s="1"/>
  <c r="F148" i="18"/>
  <c r="F155" i="18" s="1"/>
  <c r="K148" i="18"/>
  <c r="K155" i="18" s="1"/>
  <c r="N148" i="18"/>
  <c r="N155" i="18" s="1"/>
  <c r="O148" i="18"/>
  <c r="O155" i="18" s="1"/>
  <c r="Q146" i="18"/>
  <c r="M148" i="18"/>
  <c r="M155" i="18" s="1"/>
  <c r="Q147" i="18"/>
  <c r="Q64" i="18"/>
  <c r="Q45" i="18"/>
  <c r="Q103" i="18"/>
  <c r="Q85" i="18"/>
  <c r="N96" i="18"/>
  <c r="N97" i="18" s="1"/>
  <c r="Q72" i="18"/>
  <c r="H58" i="18"/>
  <c r="H59" i="18" s="1"/>
  <c r="M58" i="18"/>
  <c r="M59" i="18" s="1"/>
  <c r="P58" i="18"/>
  <c r="P59" i="18" s="1"/>
  <c r="Q56" i="18"/>
  <c r="F58" i="18"/>
  <c r="F59" i="18" s="1"/>
  <c r="G58" i="18"/>
  <c r="G59" i="18" s="1"/>
  <c r="L58" i="18"/>
  <c r="L59" i="18" s="1"/>
  <c r="Q53" i="18"/>
  <c r="Q114" i="18"/>
  <c r="L116" i="18"/>
  <c r="L117" i="18" s="1"/>
  <c r="Q52" i="18"/>
  <c r="I96" i="18"/>
  <c r="I97" i="18" s="1"/>
  <c r="Q110" i="18"/>
  <c r="K58" i="18"/>
  <c r="K59" i="18" s="1"/>
  <c r="E58" i="18"/>
  <c r="E59" i="18" s="1"/>
  <c r="Q111" i="18"/>
  <c r="J96" i="18"/>
  <c r="J97" i="18" s="1"/>
  <c r="Q71" i="18"/>
  <c r="F96" i="18"/>
  <c r="F97" i="18" s="1"/>
  <c r="N77" i="18"/>
  <c r="N78" i="18" s="1"/>
  <c r="N58" i="18"/>
  <c r="N59" i="18" s="1"/>
  <c r="J58" i="18"/>
  <c r="J59" i="18" s="1"/>
  <c r="O58" i="18"/>
  <c r="O59" i="18" s="1"/>
  <c r="G116" i="18"/>
  <c r="G117" i="18" s="1"/>
  <c r="I77" i="18"/>
  <c r="I78" i="18" s="1"/>
  <c r="G77" i="18"/>
  <c r="G78" i="18" s="1"/>
  <c r="I58" i="18"/>
  <c r="I59" i="18" s="1"/>
  <c r="Q107" i="18"/>
  <c r="H96" i="18"/>
  <c r="H97" i="18" s="1"/>
  <c r="M96" i="18"/>
  <c r="M97" i="18" s="1"/>
  <c r="Q148" i="18" l="1"/>
  <c r="Q155" i="18"/>
  <c r="E96" i="18"/>
  <c r="E97" i="18" s="1"/>
  <c r="H77" i="18"/>
  <c r="H78" i="18" s="1"/>
  <c r="J77" i="18"/>
  <c r="J78" i="18" s="1"/>
  <c r="O77" i="18"/>
  <c r="O78" i="18" s="1"/>
  <c r="E77" i="18"/>
  <c r="E78" i="18" s="1"/>
  <c r="P116" i="18"/>
  <c r="P117" i="18" s="1"/>
  <c r="P96" i="18"/>
  <c r="P97" i="18" s="1"/>
  <c r="Q76" i="18"/>
  <c r="Q113" i="18"/>
  <c r="J116" i="18"/>
  <c r="J117" i="18" s="1"/>
  <c r="F77" i="18"/>
  <c r="F78" i="18" s="1"/>
  <c r="K77" i="18"/>
  <c r="K78" i="18" s="1"/>
  <c r="Q92" i="18"/>
  <c r="O96" i="18"/>
  <c r="O97" i="18" s="1"/>
  <c r="N116" i="18"/>
  <c r="N117" i="18" s="1"/>
  <c r="E116" i="18"/>
  <c r="E117" i="18" s="1"/>
  <c r="Q59" i="18"/>
  <c r="O116" i="18"/>
  <c r="O117" i="18" s="1"/>
  <c r="Q58" i="18"/>
  <c r="K116" i="18"/>
  <c r="K117" i="18" s="1"/>
  <c r="F116" i="18"/>
  <c r="F117" i="18" s="1"/>
  <c r="M116" i="18"/>
  <c r="M117" i="18" s="1"/>
  <c r="Q73" i="18"/>
  <c r="P77" i="18"/>
  <c r="P78" i="18" s="1"/>
  <c r="M77" i="18"/>
  <c r="M78" i="18" s="1"/>
  <c r="L77" i="18"/>
  <c r="G96" i="18"/>
  <c r="G97" i="18" s="1"/>
  <c r="L96" i="18"/>
  <c r="Q91" i="18"/>
  <c r="Q94" i="18"/>
  <c r="Q74" i="18"/>
  <c r="Q112" i="18"/>
  <c r="H116" i="18"/>
  <c r="H117" i="18" s="1"/>
  <c r="I116" i="18"/>
  <c r="I117" i="18" s="1"/>
  <c r="K96" i="18"/>
  <c r="K97" i="18" s="1"/>
  <c r="Q117" i="18" l="1"/>
  <c r="Q96" i="18"/>
  <c r="L97" i="18"/>
  <c r="Q97" i="18" s="1"/>
  <c r="Q116" i="18"/>
  <c r="Q77" i="18"/>
  <c r="L78" i="18"/>
  <c r="Q78" i="18" s="1"/>
  <c r="Q93" i="18"/>
  <c r="Q95" i="18"/>
  <c r="Q75" i="18"/>
</calcChain>
</file>

<file path=xl/sharedStrings.xml><?xml version="1.0" encoding="utf-8"?>
<sst xmlns="http://schemas.openxmlformats.org/spreadsheetml/2006/main" count="495" uniqueCount="181">
  <si>
    <t xml:space="preserve"> Team leader </t>
  </si>
  <si>
    <t>Manager</t>
  </si>
  <si>
    <t>A.Manager</t>
  </si>
  <si>
    <t>Staff</t>
    <phoneticPr fontId="11" type="noConversion"/>
  </si>
  <si>
    <t>G.S2</t>
    <phoneticPr fontId="11" type="noConversion"/>
  </si>
  <si>
    <t>G.S1</t>
    <phoneticPr fontId="11" type="noConversion"/>
  </si>
  <si>
    <t>Supervisor2</t>
    <phoneticPr fontId="11" type="noConversion"/>
  </si>
  <si>
    <t>Supervisor1</t>
    <phoneticPr fontId="11" type="noConversion"/>
  </si>
  <si>
    <t>technician</t>
  </si>
  <si>
    <t>M.S2</t>
    <phoneticPr fontId="11" type="noConversion"/>
  </si>
  <si>
    <t>M.S1</t>
    <phoneticPr fontId="11" type="noConversion"/>
  </si>
  <si>
    <t>8월</t>
    <phoneticPr fontId="7" type="noConversion"/>
  </si>
  <si>
    <t>9월</t>
    <phoneticPr fontId="7" type="noConversion"/>
  </si>
  <si>
    <t>10월</t>
    <phoneticPr fontId="7" type="noConversion"/>
  </si>
  <si>
    <t>11월</t>
    <phoneticPr fontId="7" type="noConversion"/>
  </si>
  <si>
    <t>12월</t>
    <phoneticPr fontId="7" type="noConversion"/>
  </si>
  <si>
    <t>2월</t>
  </si>
  <si>
    <t>3월</t>
  </si>
  <si>
    <t>4월</t>
  </si>
  <si>
    <t>5월</t>
  </si>
  <si>
    <t>6월</t>
  </si>
  <si>
    <t>7월</t>
  </si>
  <si>
    <t xml:space="preserve"> </t>
    <phoneticPr fontId="7" type="noConversion"/>
  </si>
  <si>
    <t>'18년</t>
  </si>
  <si>
    <t>1월</t>
  </si>
  <si>
    <t>□ 인력</t>
  </si>
  <si>
    <t>□ 인건비</t>
  </si>
  <si>
    <t>임금표 (2018년)</t>
    <phoneticPr fontId="5" type="noConversion"/>
  </si>
  <si>
    <t>* 단위: 千VND, 千KRW, USD</t>
    <phoneticPr fontId="5" type="noConversion"/>
  </si>
  <si>
    <t>구분</t>
    <phoneticPr fontId="5" type="noConversion"/>
  </si>
  <si>
    <t>생산직</t>
    <phoneticPr fontId="5" type="noConversion"/>
  </si>
  <si>
    <t>일반직</t>
    <phoneticPr fontId="5" type="noConversion"/>
  </si>
  <si>
    <t>사무직(대졸)</t>
    <phoneticPr fontId="5" type="noConversion"/>
  </si>
  <si>
    <t>비고</t>
    <phoneticPr fontId="5" type="noConversion"/>
  </si>
  <si>
    <t>최저임금</t>
    <phoneticPr fontId="5" type="noConversion"/>
  </si>
  <si>
    <t>미숙련
(85%)</t>
    <phoneticPr fontId="5" type="noConversion"/>
  </si>
  <si>
    <t>Manufaturing
Staff1</t>
    <phoneticPr fontId="5" type="noConversion"/>
  </si>
  <si>
    <t>Manufaturing
Staff2</t>
    <phoneticPr fontId="5" type="noConversion"/>
  </si>
  <si>
    <t>Technician 1</t>
    <phoneticPr fontId="5" type="noConversion"/>
  </si>
  <si>
    <t>Technician 2</t>
  </si>
  <si>
    <t>Technician 3</t>
  </si>
  <si>
    <t>Sub Staff 1</t>
    <phoneticPr fontId="5" type="noConversion"/>
  </si>
  <si>
    <t>Sub Staff 2</t>
    <phoneticPr fontId="5" type="noConversion"/>
  </si>
  <si>
    <t>Staff</t>
    <phoneticPr fontId="5" type="noConversion"/>
  </si>
  <si>
    <t>Assistant</t>
    <phoneticPr fontId="5" type="noConversion"/>
  </si>
  <si>
    <t>Manager</t>
    <phoneticPr fontId="5" type="noConversion"/>
  </si>
  <si>
    <t>S.Manager</t>
    <phoneticPr fontId="5" type="noConversion"/>
  </si>
  <si>
    <t>임금</t>
    <phoneticPr fontId="5" type="noConversion"/>
  </si>
  <si>
    <t>기본급</t>
    <phoneticPr fontId="5" type="noConversion"/>
  </si>
  <si>
    <t>주택수당</t>
    <phoneticPr fontId="5" type="noConversion"/>
  </si>
  <si>
    <t>만근수당</t>
    <phoneticPr fontId="5" type="noConversion"/>
  </si>
  <si>
    <t>합계</t>
    <phoneticPr fontId="5" type="noConversion"/>
  </si>
  <si>
    <t>잔특근</t>
    <phoneticPr fontId="5" type="noConversion"/>
  </si>
  <si>
    <r>
      <t xml:space="preserve">월 20시간
</t>
    </r>
    <r>
      <rPr>
        <sz val="9"/>
        <color theme="1"/>
        <rFont val="Calibri"/>
        <family val="3"/>
        <charset val="129"/>
        <scheme val="minor"/>
      </rPr>
      <t>(소정 209시간)</t>
    </r>
  </si>
  <si>
    <t>월 급(근로자)</t>
    <phoneticPr fontId="5" type="noConversion"/>
  </si>
  <si>
    <t>사회보험</t>
    <phoneticPr fontId="5" type="noConversion"/>
  </si>
  <si>
    <t>임금의 17.5%</t>
    <phoneticPr fontId="5" type="noConversion"/>
  </si>
  <si>
    <t>의료보험</t>
    <phoneticPr fontId="5" type="noConversion"/>
  </si>
  <si>
    <t>임금의 3%</t>
    <phoneticPr fontId="5" type="noConversion"/>
  </si>
  <si>
    <t>고용보험</t>
    <phoneticPr fontId="5" type="noConversion"/>
  </si>
  <si>
    <t>임금의 1%</t>
    <phoneticPr fontId="5" type="noConversion"/>
  </si>
  <si>
    <t>법정보험</t>
    <phoneticPr fontId="5" type="noConversion"/>
  </si>
  <si>
    <t>월 총급여</t>
    <phoneticPr fontId="5" type="noConversion"/>
  </si>
  <si>
    <t>복리후생(년)</t>
    <phoneticPr fontId="5" type="noConversion"/>
  </si>
  <si>
    <t>4회
회당 500</t>
    <phoneticPr fontId="5" type="noConversion"/>
  </si>
  <si>
    <t>구정상여(년)</t>
    <phoneticPr fontId="5" type="noConversion"/>
  </si>
  <si>
    <t>기본급 100%
+50만동</t>
    <phoneticPr fontId="5" type="noConversion"/>
  </si>
  <si>
    <t>년 총급여</t>
    <phoneticPr fontId="5" type="noConversion"/>
  </si>
  <si>
    <t>원</t>
    <phoneticPr fontId="5" type="noConversion"/>
  </si>
  <si>
    <t>US($)</t>
    <phoneticPr fontId="5" type="noConversion"/>
  </si>
  <si>
    <t>Manpower</t>
  </si>
  <si>
    <t>Cost</t>
  </si>
  <si>
    <t>Position</t>
  </si>
  <si>
    <t>Salary</t>
  </si>
  <si>
    <t>Support</t>
  </si>
  <si>
    <t>Total</t>
  </si>
  <si>
    <t>Manufacturing</t>
  </si>
  <si>
    <t>Insurance</t>
  </si>
  <si>
    <t>Incentive</t>
  </si>
  <si>
    <t>Local</t>
  </si>
  <si>
    <t>Standard</t>
  </si>
  <si>
    <t>Sub Total</t>
  </si>
  <si>
    <t>VNĐ</t>
  </si>
  <si>
    <t>OT</t>
  </si>
  <si>
    <t>Other</t>
  </si>
  <si>
    <t>Party expense</t>
  </si>
  <si>
    <t>S.Staff</t>
  </si>
  <si>
    <t>임금표 (2019년)</t>
  </si>
  <si>
    <t>* 단위: 千VND, 千KRW, USD</t>
    <phoneticPr fontId="21" type="noConversion"/>
  </si>
  <si>
    <t>구분</t>
    <phoneticPr fontId="21" type="noConversion"/>
  </si>
  <si>
    <t>생산직</t>
    <phoneticPr fontId="21" type="noConversion"/>
  </si>
  <si>
    <t>일반직</t>
    <phoneticPr fontId="21" type="noConversion"/>
  </si>
  <si>
    <t>사무직(대졸)</t>
    <phoneticPr fontId="21" type="noConversion"/>
  </si>
  <si>
    <t>비고</t>
    <phoneticPr fontId="21" type="noConversion"/>
  </si>
  <si>
    <t>최저임금</t>
    <phoneticPr fontId="21" type="noConversion"/>
  </si>
  <si>
    <t>미숙련
(85%)</t>
    <phoneticPr fontId="21" type="noConversion"/>
  </si>
  <si>
    <t>Manufaturing
Staff1</t>
    <phoneticPr fontId="21" type="noConversion"/>
  </si>
  <si>
    <t>Manufaturing
Staff2</t>
    <phoneticPr fontId="21" type="noConversion"/>
  </si>
  <si>
    <t>Technician 1</t>
    <phoneticPr fontId="21" type="noConversion"/>
  </si>
  <si>
    <t>Sub Staff 1</t>
    <phoneticPr fontId="21" type="noConversion"/>
  </si>
  <si>
    <t>Sub Staff 2</t>
    <phoneticPr fontId="21" type="noConversion"/>
  </si>
  <si>
    <t>Staff</t>
    <phoneticPr fontId="21" type="noConversion"/>
  </si>
  <si>
    <t>Assistant</t>
    <phoneticPr fontId="21" type="noConversion"/>
  </si>
  <si>
    <t>Manager</t>
    <phoneticPr fontId="21" type="noConversion"/>
  </si>
  <si>
    <t>S.Manager</t>
    <phoneticPr fontId="21" type="noConversion"/>
  </si>
  <si>
    <t>임금</t>
    <phoneticPr fontId="21" type="noConversion"/>
  </si>
  <si>
    <t>기본급</t>
    <phoneticPr fontId="21" type="noConversion"/>
  </si>
  <si>
    <t>주택수당</t>
    <phoneticPr fontId="21" type="noConversion"/>
  </si>
  <si>
    <t>만근수당</t>
    <phoneticPr fontId="21" type="noConversion"/>
  </si>
  <si>
    <t>합계</t>
    <phoneticPr fontId="21" type="noConversion"/>
  </si>
  <si>
    <t>잔특근</t>
    <phoneticPr fontId="21" type="noConversion"/>
  </si>
  <si>
    <r>
      <t xml:space="preserve">월 20시간 + 특근 10시간
</t>
    </r>
    <r>
      <rPr>
        <sz val="9"/>
        <color indexed="8"/>
        <rFont val="Calibri"/>
        <family val="3"/>
        <charset val="129"/>
      </rPr>
      <t>(소정 209시간)</t>
    </r>
  </si>
  <si>
    <t>월 급(근로자)</t>
    <phoneticPr fontId="21" type="noConversion"/>
  </si>
  <si>
    <t>사회보험</t>
    <phoneticPr fontId="21" type="noConversion"/>
  </si>
  <si>
    <t>임금의 17.5%</t>
    <phoneticPr fontId="21" type="noConversion"/>
  </si>
  <si>
    <t>의료보험</t>
    <phoneticPr fontId="21" type="noConversion"/>
  </si>
  <si>
    <t>임금의 3%</t>
    <phoneticPr fontId="21" type="noConversion"/>
  </si>
  <si>
    <t>고용보험</t>
    <phoneticPr fontId="21" type="noConversion"/>
  </si>
  <si>
    <t>임금의 1%</t>
    <phoneticPr fontId="21" type="noConversion"/>
  </si>
  <si>
    <t>법정보험</t>
    <phoneticPr fontId="21" type="noConversion"/>
  </si>
  <si>
    <t>월 총급여</t>
    <phoneticPr fontId="21" type="noConversion"/>
  </si>
  <si>
    <t>복리후생(년)</t>
    <phoneticPr fontId="21" type="noConversion"/>
  </si>
  <si>
    <t>4회*50만동 +
기타 선물 등</t>
  </si>
  <si>
    <t>구정상여(년)</t>
    <phoneticPr fontId="21" type="noConversion"/>
  </si>
  <si>
    <t>기본급 100%
+50만동</t>
    <phoneticPr fontId="21" type="noConversion"/>
  </si>
  <si>
    <t>년 총급여</t>
    <phoneticPr fontId="21" type="noConversion"/>
  </si>
  <si>
    <t>원</t>
    <phoneticPr fontId="21" type="noConversion"/>
  </si>
  <si>
    <t>US($)</t>
    <phoneticPr fontId="21" type="noConversion"/>
  </si>
  <si>
    <t>S.Staff</t>
    <phoneticPr fontId="11" type="noConversion"/>
  </si>
  <si>
    <t>technician1</t>
    <phoneticPr fontId="7" type="noConversion"/>
  </si>
  <si>
    <t>technician2</t>
    <phoneticPr fontId="7" type="noConversion"/>
  </si>
  <si>
    <t>technician3</t>
    <phoneticPr fontId="7" type="noConversion"/>
  </si>
  <si>
    <t>'19년</t>
    <phoneticPr fontId="7" type="noConversion"/>
  </si>
  <si>
    <t>□ 인건비</t>
    <phoneticPr fontId="7" type="noConversion"/>
  </si>
  <si>
    <t>Staff</t>
  </si>
  <si>
    <t>G.S2</t>
  </si>
  <si>
    <t>G.S1</t>
  </si>
  <si>
    <t>평균</t>
    <phoneticPr fontId="7" type="noConversion"/>
  </si>
  <si>
    <t>Số nhân lực</t>
  </si>
  <si>
    <t>Tổng lương</t>
  </si>
  <si>
    <t>Lương cơ bản theo ngày công</t>
  </si>
  <si>
    <t>Tiền làm thêm</t>
  </si>
  <si>
    <t>Bảo hiểm</t>
  </si>
  <si>
    <t>Hiếu hỉ, khác</t>
  </si>
  <si>
    <t>Thưởng ngày lễ, phép</t>
  </si>
  <si>
    <t>x</t>
  </si>
  <si>
    <t>X</t>
  </si>
  <si>
    <t>Thưởng khác (Cống hiến,  đánh giá, giới thiệu nhân viên)</t>
  </si>
  <si>
    <t>2019/01/31</t>
  </si>
  <si>
    <t>2019/02/28</t>
  </si>
  <si>
    <t>2019/03/31</t>
  </si>
  <si>
    <t>2019/04/30</t>
  </si>
  <si>
    <t>2019/05/31</t>
  </si>
  <si>
    <t>2019/06/30</t>
  </si>
  <si>
    <t>2019/07/31</t>
  </si>
  <si>
    <t>2019/08/31</t>
  </si>
  <si>
    <t>2019/09/30</t>
  </si>
  <si>
    <t>01_MONTH</t>
  </si>
  <si>
    <t>02_MONTH</t>
  </si>
  <si>
    <t>03_MONTH</t>
  </si>
  <si>
    <t>04_MONTH</t>
  </si>
  <si>
    <t>05_MONTH</t>
  </si>
  <si>
    <t>06_MONTH</t>
  </si>
  <si>
    <t>07_MONTH</t>
  </si>
  <si>
    <t>08_MONTH</t>
  </si>
  <si>
    <t>09_MONTH</t>
  </si>
  <si>
    <t>'</t>
  </si>
  <si>
    <t>",</t>
  </si>
  <si>
    <t xml:space="preserve"> AS "</t>
  </si>
  <si>
    <t>2019/01/31 AS "01_MONTH",</t>
  </si>
  <si>
    <t>2019/02/28 AS "02_MONTH",</t>
  </si>
  <si>
    <t>2019/03/31 AS "03_MONTH",</t>
  </si>
  <si>
    <t>2019/04/30 AS "04_MONTH",</t>
  </si>
  <si>
    <t>2019/05/31 AS "05_MONTH",</t>
  </si>
  <si>
    <t>2019/06/30 AS "06_MONTH",</t>
  </si>
  <si>
    <t>2019/07/31 AS "07_MONTH",</t>
  </si>
  <si>
    <t>2019/08/31 AS "08_MONTH",</t>
  </si>
  <si>
    <t>2019/09/30 AS "09_MONTH",</t>
  </si>
  <si>
    <t>Total Salary</t>
  </si>
  <si>
    <t>Monthly Salary</t>
  </si>
  <si>
    <t>Bonus+AL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</si>
</sst>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7" formatCode="_-* #,##0_-;\-* #,##0_-;_-* &quot;-&quot;??_-;_-@_-"/>
    <numFmt numFmtId="168" formatCode="_-* #,##0.0_-;\-* #,##0.0_-;_-* &quot;-&quot;?_-;_-@_-"/>
    <numFmt numFmtId="169" formatCode="_-* #,##0.00_-;\-* #,##0.00_-;_-* &quot;-&quot;_-;_-@_-"/>
  </numFmts>
  <fonts count="24"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indexed="8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indexed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1"/>
      <color indexed="8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b/>
      <sz val="11"/>
      <name val="Calibri"/>
      <family val="3"/>
      <charset val="129"/>
      <scheme val="minor"/>
    </font>
    <font>
      <sz val="9"/>
      <color theme="1"/>
      <name val="Calibri"/>
      <family val="3"/>
      <charset val="129"/>
      <scheme val="minor"/>
    </font>
    <font>
      <sz val="9"/>
      <color indexed="8"/>
      <name val="Calibri"/>
      <family val="3"/>
      <charset val="129"/>
      <scheme val="minor"/>
    </font>
    <font>
      <b/>
      <sz val="9"/>
      <color indexed="8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1"/>
      <color indexed="8"/>
      <name val="Calibri"/>
      <family val="2"/>
      <scheme val="minor"/>
    </font>
    <font>
      <b/>
      <sz val="18"/>
      <color theme="1"/>
      <name val="Calibri"/>
      <family val="3"/>
      <charset val="129"/>
      <scheme val="minor"/>
    </font>
    <font>
      <sz val="10"/>
      <name val="VNI-Times"/>
    </font>
    <font>
      <b/>
      <sz val="11"/>
      <name val="Calibri"/>
      <family val="2"/>
      <scheme val="minor"/>
    </font>
    <font>
      <sz val="8"/>
      <name val="Calibri"/>
      <family val="2"/>
      <charset val="129"/>
    </font>
    <font>
      <sz val="9"/>
      <color indexed="8"/>
      <name val="Calibri"/>
      <family val="3"/>
      <charset val="129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8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</borders>
  <cellStyleXfs count="21">
    <xf numFmtId="0" fontId="0" fillId="0" borderId="0">
      <alignment vertical="center"/>
    </xf>
    <xf numFmtId="164" fontId="6" fillId="0" borderId="0" applyFont="0" applyFill="0" applyBorder="0" applyAlignment="0" applyProtection="0">
      <alignment vertical="center"/>
    </xf>
    <xf numFmtId="164" fontId="6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5" fillId="0" borderId="0">
      <alignment vertical="center"/>
    </xf>
    <xf numFmtId="164" fontId="5" fillId="0" borderId="0" applyFont="0" applyFill="0" applyBorder="0" applyAlignment="0" applyProtection="0">
      <alignment vertical="center"/>
    </xf>
    <xf numFmtId="165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04">
    <xf numFmtId="0" fontId="0" fillId="0" borderId="0" xfId="0">
      <alignment vertical="center"/>
    </xf>
    <xf numFmtId="164" fontId="10" fillId="2" borderId="11" xfId="1" applyFont="1" applyFill="1" applyBorder="1">
      <alignment vertical="center"/>
    </xf>
    <xf numFmtId="164" fontId="8" fillId="0" borderId="66" xfId="1" applyFont="1" applyFill="1" applyBorder="1">
      <alignment vertical="center"/>
    </xf>
    <xf numFmtId="164" fontId="10" fillId="2" borderId="22" xfId="1" applyFont="1" applyFill="1" applyBorder="1">
      <alignment vertical="center"/>
    </xf>
    <xf numFmtId="164" fontId="10" fillId="0" borderId="73" xfId="1" applyFont="1" applyFill="1" applyBorder="1">
      <alignment vertical="center"/>
    </xf>
    <xf numFmtId="164" fontId="10" fillId="0" borderId="5" xfId="1" applyFont="1" applyFill="1" applyBorder="1">
      <alignment vertical="center"/>
    </xf>
    <xf numFmtId="164" fontId="10" fillId="0" borderId="33" xfId="1" applyFont="1" applyFill="1" applyBorder="1">
      <alignment vertical="center"/>
    </xf>
    <xf numFmtId="164" fontId="10" fillId="0" borderId="63" xfId="1" applyFont="1" applyFill="1" applyBorder="1">
      <alignment vertical="center"/>
    </xf>
    <xf numFmtId="164" fontId="14" fillId="0" borderId="1" xfId="1" applyFont="1" applyFill="1" applyBorder="1">
      <alignment vertical="center"/>
    </xf>
    <xf numFmtId="164" fontId="14" fillId="0" borderId="4" xfId="1" applyFont="1" applyFill="1" applyBorder="1">
      <alignment vertical="center"/>
    </xf>
    <xf numFmtId="164" fontId="15" fillId="0" borderId="4" xfId="1" applyFont="1" applyFill="1" applyBorder="1">
      <alignment vertical="center"/>
    </xf>
    <xf numFmtId="164" fontId="14" fillId="0" borderId="57" xfId="1" applyFont="1" applyFill="1" applyBorder="1">
      <alignment vertical="center"/>
    </xf>
    <xf numFmtId="164" fontId="15" fillId="0" borderId="5" xfId="1" applyFont="1" applyFill="1" applyBorder="1">
      <alignment vertical="center"/>
    </xf>
    <xf numFmtId="164" fontId="14" fillId="0" borderId="32" xfId="1" applyFont="1" applyFill="1" applyBorder="1">
      <alignment vertical="center"/>
    </xf>
    <xf numFmtId="164" fontId="15" fillId="0" borderId="33" xfId="1" applyFont="1" applyFill="1" applyBorder="1">
      <alignment vertical="center"/>
    </xf>
    <xf numFmtId="164" fontId="15" fillId="2" borderId="11" xfId="1" applyFont="1" applyFill="1" applyBorder="1">
      <alignment vertical="center"/>
    </xf>
    <xf numFmtId="164" fontId="15" fillId="2" borderId="22" xfId="1" applyFont="1" applyFill="1" applyBorder="1">
      <alignment vertical="center"/>
    </xf>
    <xf numFmtId="164" fontId="15" fillId="0" borderId="1" xfId="1" applyFont="1" applyFill="1" applyBorder="1">
      <alignment vertical="center"/>
    </xf>
    <xf numFmtId="164" fontId="15" fillId="0" borderId="57" xfId="1" applyFont="1" applyFill="1" applyBorder="1">
      <alignment vertical="center"/>
    </xf>
    <xf numFmtId="164" fontId="15" fillId="0" borderId="32" xfId="1" applyFont="1" applyFill="1" applyBorder="1">
      <alignment vertical="center"/>
    </xf>
    <xf numFmtId="164" fontId="15" fillId="0" borderId="2" xfId="1" applyFont="1" applyFill="1" applyBorder="1">
      <alignment vertical="center"/>
    </xf>
    <xf numFmtId="164" fontId="15" fillId="0" borderId="73" xfId="1" applyFont="1" applyFill="1" applyBorder="1">
      <alignment vertical="center"/>
    </xf>
    <xf numFmtId="0" fontId="3" fillId="0" borderId="0" xfId="10">
      <alignment vertical="center"/>
    </xf>
    <xf numFmtId="0" fontId="3" fillId="0" borderId="0" xfId="10" applyAlignment="1">
      <alignment horizontal="right" vertical="center"/>
    </xf>
    <xf numFmtId="0" fontId="16" fillId="4" borderId="31" xfId="10" applyFont="1" applyFill="1" applyBorder="1" applyAlignment="1">
      <alignment horizontal="center" vertical="center"/>
    </xf>
    <xf numFmtId="0" fontId="16" fillId="4" borderId="33" xfId="10" applyFont="1" applyFill="1" applyBorder="1" applyAlignment="1">
      <alignment horizontal="center" vertical="center"/>
    </xf>
    <xf numFmtId="0" fontId="16" fillId="4" borderId="34" xfId="10" applyFont="1" applyFill="1" applyBorder="1" applyAlignment="1">
      <alignment horizontal="center" vertical="center"/>
    </xf>
    <xf numFmtId="9" fontId="16" fillId="4" borderId="54" xfId="10" quotePrefix="1" applyNumberFormat="1" applyFont="1" applyFill="1" applyBorder="1" applyAlignment="1">
      <alignment horizontal="center" vertical="center"/>
    </xf>
    <xf numFmtId="0" fontId="16" fillId="4" borderId="48" xfId="10" quotePrefix="1" applyFont="1" applyFill="1" applyBorder="1" applyAlignment="1">
      <alignment horizontal="center" vertical="center"/>
    </xf>
    <xf numFmtId="9" fontId="16" fillId="4" borderId="81" xfId="10" quotePrefix="1" applyNumberFormat="1" applyFont="1" applyFill="1" applyBorder="1" applyAlignment="1">
      <alignment horizontal="center" vertical="center"/>
    </xf>
    <xf numFmtId="0" fontId="16" fillId="4" borderId="53" xfId="10" quotePrefix="1" applyFont="1" applyFill="1" applyBorder="1" applyAlignment="1">
      <alignment horizontal="center" vertical="center"/>
    </xf>
    <xf numFmtId="0" fontId="16" fillId="4" borderId="47" xfId="10" quotePrefix="1" applyFont="1" applyFill="1" applyBorder="1" applyAlignment="1">
      <alignment horizontal="center" vertical="center"/>
    </xf>
    <xf numFmtId="0" fontId="3" fillId="0" borderId="83" xfId="10" applyBorder="1" applyAlignment="1">
      <alignment horizontal="center" vertical="center"/>
    </xf>
    <xf numFmtId="164" fontId="0" fillId="0" borderId="71" xfId="11" applyFont="1" applyBorder="1" applyAlignment="1">
      <alignment horizontal="center" vertical="center"/>
    </xf>
    <xf numFmtId="164" fontId="0" fillId="0" borderId="57" xfId="11" applyFont="1" applyBorder="1" applyAlignment="1">
      <alignment horizontal="center" vertical="center"/>
    </xf>
    <xf numFmtId="164" fontId="0" fillId="0" borderId="70" xfId="11" applyFont="1" applyBorder="1" applyAlignment="1">
      <alignment horizontal="center" vertical="center"/>
    </xf>
    <xf numFmtId="164" fontId="0" fillId="0" borderId="73" xfId="11" applyFont="1" applyBorder="1" applyAlignment="1">
      <alignment horizontal="center" vertical="center"/>
    </xf>
    <xf numFmtId="164" fontId="0" fillId="0" borderId="9" xfId="11" applyFont="1" applyBorder="1" applyAlignment="1">
      <alignment horizontal="center" vertical="center"/>
    </xf>
    <xf numFmtId="164" fontId="0" fillId="0" borderId="72" xfId="11" applyFont="1" applyBorder="1" applyAlignment="1">
      <alignment horizontal="center" vertical="center"/>
    </xf>
    <xf numFmtId="0" fontId="3" fillId="0" borderId="28" xfId="10" applyBorder="1" applyAlignment="1">
      <alignment horizontal="center" vertical="center"/>
    </xf>
    <xf numFmtId="165" fontId="3" fillId="0" borderId="0" xfId="10" applyNumberFormat="1">
      <alignment vertical="center"/>
    </xf>
    <xf numFmtId="0" fontId="3" fillId="0" borderId="84" xfId="10" applyBorder="1" applyAlignment="1">
      <alignment horizontal="center" vertical="center"/>
    </xf>
    <xf numFmtId="164" fontId="0" fillId="0" borderId="39" xfId="11" applyFont="1" applyBorder="1" applyAlignment="1">
      <alignment horizontal="center" vertical="center"/>
    </xf>
    <xf numFmtId="164" fontId="0" fillId="0" borderId="35" xfId="11" applyFont="1" applyBorder="1" applyAlignment="1">
      <alignment horizontal="center" vertical="center"/>
    </xf>
    <xf numFmtId="164" fontId="0" fillId="0" borderId="40" xfId="11" applyFont="1" applyBorder="1" applyAlignment="1">
      <alignment horizontal="center" vertical="center"/>
    </xf>
    <xf numFmtId="164" fontId="0" fillId="0" borderId="38" xfId="11" applyFont="1" applyBorder="1" applyAlignment="1">
      <alignment horizontal="center" vertical="center"/>
    </xf>
    <xf numFmtId="164" fontId="0" fillId="0" borderId="36" xfId="11" applyFont="1" applyBorder="1" applyAlignment="1">
      <alignment horizontal="center" vertical="center"/>
    </xf>
    <xf numFmtId="164" fontId="0" fillId="0" borderId="0" xfId="11" applyFont="1" applyBorder="1" applyAlignment="1">
      <alignment horizontal="center" vertical="center"/>
    </xf>
    <xf numFmtId="0" fontId="3" fillId="0" borderId="85" xfId="10" applyBorder="1" applyAlignment="1">
      <alignment horizontal="center" vertical="center"/>
    </xf>
    <xf numFmtId="167" fontId="0" fillId="0" borderId="17" xfId="11" applyNumberFormat="1" applyFont="1" applyBorder="1" applyAlignment="1">
      <alignment horizontal="center" vertical="center"/>
    </xf>
    <xf numFmtId="167" fontId="0" fillId="0" borderId="7" xfId="11" applyNumberFormat="1" applyFont="1" applyBorder="1" applyAlignment="1">
      <alignment horizontal="center" vertical="center"/>
    </xf>
    <xf numFmtId="164" fontId="0" fillId="0" borderId="15" xfId="11" applyFont="1" applyBorder="1" applyAlignment="1">
      <alignment horizontal="center" vertical="center"/>
    </xf>
    <xf numFmtId="164" fontId="0" fillId="0" borderId="8" xfId="11" applyFont="1" applyBorder="1" applyAlignment="1">
      <alignment horizontal="center" vertical="center"/>
    </xf>
    <xf numFmtId="167" fontId="0" fillId="0" borderId="6" xfId="11" applyNumberFormat="1" applyFont="1" applyBorder="1" applyAlignment="1">
      <alignment horizontal="center" vertical="center"/>
    </xf>
    <xf numFmtId="164" fontId="0" fillId="0" borderId="17" xfId="11" applyFont="1" applyBorder="1" applyAlignment="1">
      <alignment horizontal="center" vertical="center"/>
    </xf>
    <xf numFmtId="164" fontId="0" fillId="0" borderId="7" xfId="11" applyFont="1" applyBorder="1" applyAlignment="1">
      <alignment horizontal="center" vertical="center"/>
    </xf>
    <xf numFmtId="164" fontId="0" fillId="0" borderId="55" xfId="11" applyFont="1" applyBorder="1" applyAlignment="1">
      <alignment horizontal="center" vertical="center"/>
    </xf>
    <xf numFmtId="0" fontId="3" fillId="0" borderId="64" xfId="10" applyBorder="1" applyAlignment="1">
      <alignment horizontal="center" vertical="center"/>
    </xf>
    <xf numFmtId="168" fontId="3" fillId="0" borderId="0" xfId="10" applyNumberFormat="1">
      <alignment vertical="center"/>
    </xf>
    <xf numFmtId="167" fontId="0" fillId="0" borderId="58" xfId="11" applyNumberFormat="1" applyFont="1" applyBorder="1" applyAlignment="1">
      <alignment horizontal="center" vertical="center"/>
    </xf>
    <xf numFmtId="164" fontId="0" fillId="0" borderId="66" xfId="11" applyFont="1" applyBorder="1" applyAlignment="1">
      <alignment horizontal="center" vertical="center"/>
    </xf>
    <xf numFmtId="164" fontId="0" fillId="0" borderId="68" xfId="11" applyFont="1" applyBorder="1" applyAlignment="1">
      <alignment horizontal="center" vertical="center"/>
    </xf>
    <xf numFmtId="164" fontId="0" fillId="0" borderId="63" xfId="11" applyFont="1" applyBorder="1" applyAlignment="1">
      <alignment horizontal="center" vertical="center"/>
    </xf>
    <xf numFmtId="164" fontId="0" fillId="0" borderId="67" xfId="11" applyFont="1" applyBorder="1" applyAlignment="1">
      <alignment horizontal="center" vertical="center"/>
    </xf>
    <xf numFmtId="164" fontId="0" fillId="0" borderId="58" xfId="11" applyFont="1" applyBorder="1" applyAlignment="1">
      <alignment horizontal="center" vertical="center"/>
    </xf>
    <xf numFmtId="164" fontId="0" fillId="0" borderId="44" xfId="11" applyFont="1" applyBorder="1" applyAlignment="1">
      <alignment horizontal="center" vertical="center"/>
    </xf>
    <xf numFmtId="0" fontId="3" fillId="0" borderId="59" xfId="10" applyBorder="1" applyAlignment="1">
      <alignment horizontal="center" vertical="center" wrapText="1"/>
    </xf>
    <xf numFmtId="164" fontId="16" fillId="0" borderId="13" xfId="11" applyFont="1" applyBorder="1" applyAlignment="1">
      <alignment horizontal="center" vertical="center"/>
    </xf>
    <xf numFmtId="164" fontId="16" fillId="0" borderId="29" xfId="11" applyFont="1" applyBorder="1" applyAlignment="1">
      <alignment horizontal="center" vertical="center"/>
    </xf>
    <xf numFmtId="164" fontId="16" fillId="0" borderId="41" xfId="11" applyFont="1" applyBorder="1" applyAlignment="1">
      <alignment horizontal="center" vertical="center"/>
    </xf>
    <xf numFmtId="164" fontId="16" fillId="0" borderId="23" xfId="11" applyFont="1" applyBorder="1" applyAlignment="1">
      <alignment horizontal="center" vertical="center"/>
    </xf>
    <xf numFmtId="164" fontId="16" fillId="0" borderId="25" xfId="11" applyFont="1" applyBorder="1" applyAlignment="1">
      <alignment horizontal="center" vertical="center"/>
    </xf>
    <xf numFmtId="164" fontId="16" fillId="0" borderId="12" xfId="11" applyFont="1" applyBorder="1" applyAlignment="1">
      <alignment horizontal="center" vertical="center"/>
    </xf>
    <xf numFmtId="0" fontId="16" fillId="0" borderId="59" xfId="10" applyFont="1" applyBorder="1" applyAlignment="1">
      <alignment horizontal="center" vertical="center"/>
    </xf>
    <xf numFmtId="164" fontId="0" fillId="0" borderId="74" xfId="11" applyFont="1" applyBorder="1" applyAlignment="1">
      <alignment horizontal="center" vertical="center"/>
    </xf>
    <xf numFmtId="164" fontId="0" fillId="0" borderId="1" xfId="11" applyFont="1" applyBorder="1" applyAlignment="1">
      <alignment horizontal="center" vertical="center"/>
    </xf>
    <xf numFmtId="164" fontId="0" fillId="0" borderId="60" xfId="11" applyFont="1" applyBorder="1" applyAlignment="1">
      <alignment horizontal="center" vertical="center"/>
    </xf>
    <xf numFmtId="164" fontId="0" fillId="0" borderId="2" xfId="11" applyFont="1" applyBorder="1" applyAlignment="1">
      <alignment horizontal="center" vertical="center"/>
    </xf>
    <xf numFmtId="164" fontId="0" fillId="0" borderId="75" xfId="11" applyFont="1" applyBorder="1" applyAlignment="1">
      <alignment horizontal="center" vertical="center"/>
    </xf>
    <xf numFmtId="9" fontId="3" fillId="0" borderId="28" xfId="10" applyNumberFormat="1" applyBorder="1" applyAlignment="1">
      <alignment horizontal="center" vertical="center"/>
    </xf>
    <xf numFmtId="164" fontId="0" fillId="0" borderId="18" xfId="11" applyFont="1" applyBorder="1" applyAlignment="1">
      <alignment horizontal="center" vertical="center"/>
    </xf>
    <xf numFmtId="164" fontId="0" fillId="0" borderId="4" xfId="11" applyFont="1" applyBorder="1" applyAlignment="1">
      <alignment horizontal="center" vertical="center"/>
    </xf>
    <xf numFmtId="164" fontId="0" fillId="0" borderId="16" xfId="11" applyFont="1" applyBorder="1" applyAlignment="1">
      <alignment horizontal="center" vertical="center"/>
    </xf>
    <xf numFmtId="164" fontId="0" fillId="0" borderId="5" xfId="11" applyFont="1" applyBorder="1" applyAlignment="1">
      <alignment horizontal="center" vertical="center"/>
    </xf>
    <xf numFmtId="164" fontId="0" fillId="0" borderId="3" xfId="11" applyFont="1" applyBorder="1" applyAlignment="1">
      <alignment horizontal="center" vertical="center"/>
    </xf>
    <xf numFmtId="9" fontId="3" fillId="0" borderId="62" xfId="10" applyNumberFormat="1" applyBorder="1" applyAlignment="1">
      <alignment horizontal="center" vertical="center"/>
    </xf>
    <xf numFmtId="164" fontId="0" fillId="0" borderId="6" xfId="11" applyFont="1" applyBorder="1" applyAlignment="1">
      <alignment horizontal="center" vertical="center"/>
    </xf>
    <xf numFmtId="9" fontId="3" fillId="0" borderId="51" xfId="10" applyNumberFormat="1" applyBorder="1" applyAlignment="1">
      <alignment horizontal="center" vertical="center"/>
    </xf>
    <xf numFmtId="164" fontId="16" fillId="0" borderId="39" xfId="11" applyFont="1" applyBorder="1" applyAlignment="1">
      <alignment horizontal="center" vertical="center"/>
    </xf>
    <xf numFmtId="164" fontId="16" fillId="0" borderId="35" xfId="11" applyFont="1" applyBorder="1" applyAlignment="1">
      <alignment horizontal="center" vertical="center"/>
    </xf>
    <xf numFmtId="164" fontId="16" fillId="0" borderId="40" xfId="11" applyFont="1" applyBorder="1" applyAlignment="1">
      <alignment horizontal="center" vertical="center"/>
    </xf>
    <xf numFmtId="164" fontId="16" fillId="0" borderId="38" xfId="11" applyFont="1" applyBorder="1" applyAlignment="1">
      <alignment horizontal="center" vertical="center"/>
    </xf>
    <xf numFmtId="164" fontId="16" fillId="0" borderId="36" xfId="11" applyFont="1" applyBorder="1" applyAlignment="1">
      <alignment horizontal="center" vertical="center"/>
    </xf>
    <xf numFmtId="164" fontId="16" fillId="0" borderId="0" xfId="11" applyFont="1" applyBorder="1" applyAlignment="1">
      <alignment horizontal="center" vertical="center"/>
    </xf>
    <xf numFmtId="0" fontId="16" fillId="0" borderId="61" xfId="10" applyFont="1" applyBorder="1" applyAlignment="1">
      <alignment horizontal="center" vertical="center"/>
    </xf>
    <xf numFmtId="164" fontId="16" fillId="0" borderId="58" xfId="11" applyFont="1" applyBorder="1" applyAlignment="1">
      <alignment horizontal="center" vertical="center"/>
    </xf>
    <xf numFmtId="164" fontId="16" fillId="0" borderId="66" xfId="11" applyFont="1" applyBorder="1" applyAlignment="1">
      <alignment horizontal="center" vertical="center"/>
    </xf>
    <xf numFmtId="164" fontId="16" fillId="0" borderId="68" xfId="11" applyFont="1" applyBorder="1" applyAlignment="1">
      <alignment horizontal="center" vertical="center"/>
    </xf>
    <xf numFmtId="164" fontId="16" fillId="0" borderId="63" xfId="11" applyFont="1" applyBorder="1" applyAlignment="1">
      <alignment horizontal="center" vertical="center"/>
    </xf>
    <xf numFmtId="164" fontId="16" fillId="0" borderId="67" xfId="11" applyFont="1" applyBorder="1" applyAlignment="1">
      <alignment horizontal="center" vertical="center"/>
    </xf>
    <xf numFmtId="164" fontId="16" fillId="0" borderId="44" xfId="11" applyFont="1" applyBorder="1" applyAlignment="1">
      <alignment horizontal="center" vertical="center"/>
    </xf>
    <xf numFmtId="0" fontId="3" fillId="0" borderId="59" xfId="10" applyBorder="1" applyAlignment="1">
      <alignment horizontal="center" vertical="center"/>
    </xf>
    <xf numFmtId="167" fontId="9" fillId="0" borderId="58" xfId="11" applyNumberFormat="1" applyFont="1" applyBorder="1" applyAlignment="1">
      <alignment horizontal="center" vertical="center"/>
    </xf>
    <xf numFmtId="164" fontId="9" fillId="0" borderId="66" xfId="11" applyFont="1" applyBorder="1" applyAlignment="1">
      <alignment horizontal="center" vertical="center"/>
    </xf>
    <xf numFmtId="164" fontId="9" fillId="0" borderId="68" xfId="11" applyFont="1" applyBorder="1" applyAlignment="1">
      <alignment horizontal="center" vertical="center"/>
    </xf>
    <xf numFmtId="164" fontId="9" fillId="0" borderId="63" xfId="11" applyFont="1" applyBorder="1" applyAlignment="1">
      <alignment horizontal="center" vertical="center"/>
    </xf>
    <xf numFmtId="164" fontId="9" fillId="0" borderId="67" xfId="11" applyFont="1" applyBorder="1" applyAlignment="1">
      <alignment horizontal="center" vertical="center"/>
    </xf>
    <xf numFmtId="164" fontId="9" fillId="0" borderId="58" xfId="11" applyFont="1" applyBorder="1" applyAlignment="1">
      <alignment horizontal="center" vertical="center"/>
    </xf>
    <xf numFmtId="164" fontId="9" fillId="0" borderId="44" xfId="11" applyFont="1" applyBorder="1" applyAlignment="1">
      <alignment horizontal="center" vertical="center"/>
    </xf>
    <xf numFmtId="9" fontId="3" fillId="0" borderId="59" xfId="10" applyNumberFormat="1" applyBorder="1" applyAlignment="1">
      <alignment horizontal="center" vertical="center" wrapText="1"/>
    </xf>
    <xf numFmtId="164" fontId="16" fillId="0" borderId="58" xfId="11" applyFont="1" applyBorder="1">
      <alignment vertical="center"/>
    </xf>
    <xf numFmtId="164" fontId="16" fillId="0" borderId="66" xfId="11" applyFont="1" applyBorder="1">
      <alignment vertical="center"/>
    </xf>
    <xf numFmtId="164" fontId="16" fillId="0" borderId="68" xfId="11" applyFont="1" applyBorder="1">
      <alignment vertical="center"/>
    </xf>
    <xf numFmtId="164" fontId="16" fillId="0" borderId="63" xfId="11" applyFont="1" applyBorder="1">
      <alignment vertical="center"/>
    </xf>
    <xf numFmtId="164" fontId="16" fillId="0" borderId="67" xfId="11" applyFont="1" applyBorder="1">
      <alignment vertical="center"/>
    </xf>
    <xf numFmtId="164" fontId="16" fillId="0" borderId="44" xfId="11" applyFont="1" applyBorder="1">
      <alignment vertical="center"/>
    </xf>
    <xf numFmtId="164" fontId="0" fillId="3" borderId="0" xfId="11" applyFont="1" applyFill="1" applyBorder="1">
      <alignment vertical="center"/>
    </xf>
    <xf numFmtId="167" fontId="3" fillId="3" borderId="0" xfId="10" applyNumberFormat="1" applyFill="1" applyBorder="1">
      <alignment vertical="center"/>
    </xf>
    <xf numFmtId="0" fontId="3" fillId="3" borderId="0" xfId="10" applyFill="1" applyBorder="1">
      <alignment vertical="center"/>
    </xf>
    <xf numFmtId="9" fontId="3" fillId="0" borderId="0" xfId="10" applyNumberFormat="1">
      <alignment vertical="center"/>
    </xf>
    <xf numFmtId="9" fontId="0" fillId="0" borderId="0" xfId="12" applyFont="1">
      <alignment vertical="center"/>
    </xf>
    <xf numFmtId="0" fontId="0" fillId="0" borderId="0" xfId="12" applyNumberFormat="1" applyFont="1">
      <alignment vertical="center"/>
    </xf>
    <xf numFmtId="164" fontId="14" fillId="5" borderId="66" xfId="1" applyFont="1" applyFill="1" applyBorder="1">
      <alignment vertical="center"/>
    </xf>
    <xf numFmtId="164" fontId="15" fillId="5" borderId="66" xfId="1" applyFont="1" applyFill="1" applyBorder="1">
      <alignment vertical="center"/>
    </xf>
    <xf numFmtId="164" fontId="15" fillId="5" borderId="63" xfId="1" applyFont="1" applyFill="1" applyBorder="1">
      <alignment vertical="center"/>
    </xf>
    <xf numFmtId="0" fontId="3" fillId="3" borderId="0" xfId="10" applyFill="1" applyBorder="1" applyAlignment="1">
      <alignment horizontal="center" vertical="center"/>
    </xf>
    <xf numFmtId="0" fontId="3" fillId="0" borderId="79" xfId="10" applyBorder="1" applyAlignment="1">
      <alignment horizontal="center" vertical="center"/>
    </xf>
    <xf numFmtId="0" fontId="3" fillId="0" borderId="49" xfId="10" applyBorder="1" applyAlignment="1">
      <alignment horizontal="center" vertical="center"/>
    </xf>
    <xf numFmtId="0" fontId="16" fillId="4" borderId="32" xfId="10" applyFont="1" applyFill="1" applyBorder="1" applyAlignment="1">
      <alignment horizontal="center" vertical="center"/>
    </xf>
    <xf numFmtId="164" fontId="15" fillId="0" borderId="0" xfId="1" applyFont="1" applyFill="1" applyBorder="1">
      <alignment vertical="center"/>
    </xf>
    <xf numFmtId="0" fontId="1" fillId="0" borderId="0" xfId="18">
      <alignment vertical="center"/>
    </xf>
    <xf numFmtId="0" fontId="1" fillId="0" borderId="0" xfId="18" applyAlignment="1">
      <alignment horizontal="right" vertical="center"/>
    </xf>
    <xf numFmtId="0" fontId="16" fillId="4" borderId="31" xfId="18" applyFont="1" applyFill="1" applyBorder="1" applyAlignment="1">
      <alignment horizontal="center" vertical="center"/>
    </xf>
    <xf numFmtId="0" fontId="16" fillId="4" borderId="33" xfId="18" applyFont="1" applyFill="1" applyBorder="1" applyAlignment="1">
      <alignment horizontal="center" vertical="center"/>
    </xf>
    <xf numFmtId="0" fontId="16" fillId="4" borderId="34" xfId="18" applyFont="1" applyFill="1" applyBorder="1" applyAlignment="1">
      <alignment horizontal="center" vertical="center"/>
    </xf>
    <xf numFmtId="0" fontId="16" fillId="4" borderId="32" xfId="18" applyFont="1" applyFill="1" applyBorder="1" applyAlignment="1">
      <alignment horizontal="center" vertical="center"/>
    </xf>
    <xf numFmtId="9" fontId="16" fillId="4" borderId="54" xfId="18" quotePrefix="1" applyNumberFormat="1" applyFont="1" applyFill="1" applyBorder="1" applyAlignment="1">
      <alignment horizontal="center" vertical="center"/>
    </xf>
    <xf numFmtId="0" fontId="16" fillId="4" borderId="48" xfId="18" quotePrefix="1" applyFont="1" applyFill="1" applyBorder="1" applyAlignment="1">
      <alignment horizontal="center" vertical="center"/>
    </xf>
    <xf numFmtId="9" fontId="16" fillId="4" borderId="81" xfId="18" quotePrefix="1" applyNumberFormat="1" applyFont="1" applyFill="1" applyBorder="1" applyAlignment="1">
      <alignment horizontal="center" vertical="center"/>
    </xf>
    <xf numFmtId="0" fontId="16" fillId="4" borderId="53" xfId="18" quotePrefix="1" applyFont="1" applyFill="1" applyBorder="1" applyAlignment="1">
      <alignment horizontal="center" vertical="center"/>
    </xf>
    <xf numFmtId="0" fontId="16" fillId="4" borderId="47" xfId="18" quotePrefix="1" applyFont="1" applyFill="1" applyBorder="1" applyAlignment="1">
      <alignment horizontal="center" vertical="center"/>
    </xf>
    <xf numFmtId="0" fontId="1" fillId="0" borderId="83" xfId="18" applyBorder="1" applyAlignment="1">
      <alignment horizontal="center" vertical="center"/>
    </xf>
    <xf numFmtId="164" fontId="1" fillId="0" borderId="71" xfId="19" applyFont="1" applyBorder="1" applyAlignment="1">
      <alignment horizontal="center" vertical="center"/>
    </xf>
    <xf numFmtId="164" fontId="1" fillId="0" borderId="57" xfId="19" applyFont="1" applyBorder="1" applyAlignment="1">
      <alignment horizontal="center" vertical="center"/>
    </xf>
    <xf numFmtId="164" fontId="1" fillId="0" borderId="70" xfId="19" applyFont="1" applyBorder="1" applyAlignment="1">
      <alignment horizontal="center" vertical="center"/>
    </xf>
    <xf numFmtId="164" fontId="1" fillId="0" borderId="73" xfId="19" applyFont="1" applyBorder="1" applyAlignment="1">
      <alignment horizontal="center" vertical="center"/>
    </xf>
    <xf numFmtId="164" fontId="1" fillId="0" borderId="9" xfId="19" applyFont="1" applyBorder="1" applyAlignment="1">
      <alignment horizontal="center" vertical="center"/>
    </xf>
    <xf numFmtId="164" fontId="1" fillId="0" borderId="72" xfId="19" applyFont="1" applyBorder="1" applyAlignment="1">
      <alignment horizontal="center" vertical="center"/>
    </xf>
    <xf numFmtId="0" fontId="1" fillId="0" borderId="28" xfId="18" applyBorder="1" applyAlignment="1">
      <alignment horizontal="center" vertical="center"/>
    </xf>
    <xf numFmtId="165" fontId="1" fillId="0" borderId="0" xfId="18" applyNumberFormat="1">
      <alignment vertical="center"/>
    </xf>
    <xf numFmtId="0" fontId="1" fillId="0" borderId="84" xfId="18" applyBorder="1" applyAlignment="1">
      <alignment horizontal="center" vertical="center"/>
    </xf>
    <xf numFmtId="164" fontId="1" fillId="0" borderId="39" xfId="19" applyFont="1" applyBorder="1" applyAlignment="1">
      <alignment horizontal="center" vertical="center"/>
    </xf>
    <xf numFmtId="164" fontId="1" fillId="0" borderId="35" xfId="19" applyFont="1" applyBorder="1" applyAlignment="1">
      <alignment horizontal="center" vertical="center"/>
    </xf>
    <xf numFmtId="164" fontId="1" fillId="0" borderId="40" xfId="19" applyFont="1" applyBorder="1" applyAlignment="1">
      <alignment horizontal="center" vertical="center"/>
    </xf>
    <xf numFmtId="164" fontId="1" fillId="0" borderId="38" xfId="19" applyFont="1" applyBorder="1" applyAlignment="1">
      <alignment horizontal="center" vertical="center"/>
    </xf>
    <xf numFmtId="164" fontId="1" fillId="0" borderId="36" xfId="19" applyFont="1" applyBorder="1" applyAlignment="1">
      <alignment horizontal="center" vertical="center"/>
    </xf>
    <xf numFmtId="164" fontId="1" fillId="0" borderId="0" xfId="19" applyFont="1" applyBorder="1" applyAlignment="1">
      <alignment horizontal="center" vertical="center"/>
    </xf>
    <xf numFmtId="0" fontId="1" fillId="0" borderId="49" xfId="18" applyBorder="1" applyAlignment="1">
      <alignment horizontal="center" vertical="center"/>
    </xf>
    <xf numFmtId="0" fontId="1" fillId="0" borderId="85" xfId="18" applyBorder="1" applyAlignment="1">
      <alignment horizontal="center" vertical="center"/>
    </xf>
    <xf numFmtId="167" fontId="1" fillId="0" borderId="17" xfId="19" applyNumberFormat="1" applyFont="1" applyBorder="1" applyAlignment="1">
      <alignment horizontal="center" vertical="center"/>
    </xf>
    <xf numFmtId="167" fontId="1" fillId="0" borderId="7" xfId="19" applyNumberFormat="1" applyFont="1" applyBorder="1" applyAlignment="1">
      <alignment horizontal="center" vertical="center"/>
    </xf>
    <xf numFmtId="164" fontId="1" fillId="0" borderId="15" xfId="19" applyFont="1" applyBorder="1" applyAlignment="1">
      <alignment horizontal="center" vertical="center"/>
    </xf>
    <xf numFmtId="164" fontId="1" fillId="0" borderId="8" xfId="19" applyFont="1" applyBorder="1" applyAlignment="1">
      <alignment horizontal="center" vertical="center"/>
    </xf>
    <xf numFmtId="167" fontId="1" fillId="0" borderId="6" xfId="19" applyNumberFormat="1" applyFont="1" applyBorder="1" applyAlignment="1">
      <alignment horizontal="center" vertical="center"/>
    </xf>
    <xf numFmtId="164" fontId="1" fillId="0" borderId="17" xfId="19" applyFont="1" applyBorder="1" applyAlignment="1">
      <alignment horizontal="center" vertical="center"/>
    </xf>
    <xf numFmtId="164" fontId="1" fillId="0" borderId="7" xfId="19" applyFont="1" applyBorder="1" applyAlignment="1">
      <alignment horizontal="center" vertical="center"/>
    </xf>
    <xf numFmtId="164" fontId="1" fillId="0" borderId="55" xfId="19" applyFont="1" applyBorder="1" applyAlignment="1">
      <alignment horizontal="center" vertical="center"/>
    </xf>
    <xf numFmtId="0" fontId="1" fillId="0" borderId="64" xfId="18" applyBorder="1" applyAlignment="1">
      <alignment horizontal="center" vertical="center"/>
    </xf>
    <xf numFmtId="168" fontId="1" fillId="0" borderId="0" xfId="18" applyNumberFormat="1">
      <alignment vertical="center"/>
    </xf>
    <xf numFmtId="0" fontId="1" fillId="0" borderId="79" xfId="18" applyBorder="1" applyAlignment="1">
      <alignment horizontal="center" vertical="center"/>
    </xf>
    <xf numFmtId="167" fontId="1" fillId="0" borderId="58" xfId="19" applyNumberFormat="1" applyFont="1" applyBorder="1" applyAlignment="1">
      <alignment horizontal="center" vertical="center"/>
    </xf>
    <xf numFmtId="164" fontId="1" fillId="0" borderId="66" xfId="19" applyFont="1" applyBorder="1" applyAlignment="1">
      <alignment horizontal="center" vertical="center"/>
    </xf>
    <xf numFmtId="164" fontId="1" fillId="0" borderId="68" xfId="19" applyFont="1" applyBorder="1" applyAlignment="1">
      <alignment horizontal="center" vertical="center"/>
    </xf>
    <xf numFmtId="164" fontId="1" fillId="0" borderId="63" xfId="19" applyFont="1" applyBorder="1" applyAlignment="1">
      <alignment horizontal="center" vertical="center"/>
    </xf>
    <xf numFmtId="164" fontId="1" fillId="0" borderId="67" xfId="19" applyFont="1" applyBorder="1" applyAlignment="1">
      <alignment horizontal="center" vertical="center"/>
    </xf>
    <xf numFmtId="164" fontId="1" fillId="0" borderId="58" xfId="19" applyFont="1" applyBorder="1" applyAlignment="1">
      <alignment horizontal="center" vertical="center"/>
    </xf>
    <xf numFmtId="0" fontId="1" fillId="0" borderId="59" xfId="18" applyBorder="1" applyAlignment="1">
      <alignment horizontal="center" vertical="center" wrapText="1"/>
    </xf>
    <xf numFmtId="164" fontId="16" fillId="0" borderId="13" xfId="19" applyFont="1" applyBorder="1" applyAlignment="1">
      <alignment horizontal="center" vertical="center"/>
    </xf>
    <xf numFmtId="164" fontId="16" fillId="0" borderId="29" xfId="19" applyFont="1" applyBorder="1" applyAlignment="1">
      <alignment horizontal="center" vertical="center"/>
    </xf>
    <xf numFmtId="164" fontId="16" fillId="0" borderId="41" xfId="19" applyFont="1" applyBorder="1" applyAlignment="1">
      <alignment horizontal="center" vertical="center"/>
    </xf>
    <xf numFmtId="164" fontId="16" fillId="0" borderId="23" xfId="19" applyFont="1" applyBorder="1" applyAlignment="1">
      <alignment horizontal="center" vertical="center"/>
    </xf>
    <xf numFmtId="164" fontId="16" fillId="0" borderId="25" xfId="19" applyFont="1" applyBorder="1" applyAlignment="1">
      <alignment horizontal="center" vertical="center"/>
    </xf>
    <xf numFmtId="164" fontId="16" fillId="0" borderId="12" xfId="19" applyFont="1" applyBorder="1" applyAlignment="1">
      <alignment horizontal="center" vertical="center"/>
    </xf>
    <xf numFmtId="0" fontId="16" fillId="0" borderId="59" xfId="18" applyFont="1" applyBorder="1" applyAlignment="1">
      <alignment horizontal="center" vertical="center"/>
    </xf>
    <xf numFmtId="164" fontId="1" fillId="0" borderId="74" xfId="19" applyFont="1" applyBorder="1" applyAlignment="1">
      <alignment horizontal="center" vertical="center"/>
    </xf>
    <xf numFmtId="164" fontId="1" fillId="0" borderId="1" xfId="19" applyFont="1" applyBorder="1" applyAlignment="1">
      <alignment horizontal="center" vertical="center"/>
    </xf>
    <xf numFmtId="164" fontId="1" fillId="0" borderId="60" xfId="19" applyFont="1" applyBorder="1" applyAlignment="1">
      <alignment horizontal="center" vertical="center"/>
    </xf>
    <xf numFmtId="164" fontId="1" fillId="0" borderId="2" xfId="19" applyFont="1" applyBorder="1" applyAlignment="1">
      <alignment horizontal="center" vertical="center"/>
    </xf>
    <xf numFmtId="164" fontId="1" fillId="0" borderId="75" xfId="19" applyFont="1" applyBorder="1" applyAlignment="1">
      <alignment horizontal="center" vertical="center"/>
    </xf>
    <xf numFmtId="9" fontId="1" fillId="0" borderId="28" xfId="18" applyNumberFormat="1" applyBorder="1" applyAlignment="1">
      <alignment horizontal="center" vertical="center"/>
    </xf>
    <xf numFmtId="164" fontId="1" fillId="0" borderId="18" xfId="19" applyFont="1" applyBorder="1" applyAlignment="1">
      <alignment horizontal="center" vertical="center"/>
    </xf>
    <xf numFmtId="164" fontId="1" fillId="0" borderId="4" xfId="19" applyFont="1" applyBorder="1" applyAlignment="1">
      <alignment horizontal="center" vertical="center"/>
    </xf>
    <xf numFmtId="164" fontId="1" fillId="0" borderId="16" xfId="19" applyFont="1" applyBorder="1" applyAlignment="1">
      <alignment horizontal="center" vertical="center"/>
    </xf>
    <xf numFmtId="164" fontId="1" fillId="0" borderId="5" xfId="19" applyFont="1" applyBorder="1" applyAlignment="1">
      <alignment horizontal="center" vertical="center"/>
    </xf>
    <xf numFmtId="164" fontId="1" fillId="0" borderId="3" xfId="19" applyFont="1" applyBorder="1" applyAlignment="1">
      <alignment horizontal="center" vertical="center"/>
    </xf>
    <xf numFmtId="9" fontId="1" fillId="0" borderId="62" xfId="18" applyNumberFormat="1" applyBorder="1" applyAlignment="1">
      <alignment horizontal="center" vertical="center"/>
    </xf>
    <xf numFmtId="164" fontId="1" fillId="0" borderId="6" xfId="19" applyFont="1" applyBorder="1" applyAlignment="1">
      <alignment horizontal="center" vertical="center"/>
    </xf>
    <xf numFmtId="9" fontId="1" fillId="0" borderId="51" xfId="18" applyNumberFormat="1" applyBorder="1" applyAlignment="1">
      <alignment horizontal="center" vertical="center"/>
    </xf>
    <xf numFmtId="164" fontId="16" fillId="0" borderId="39" xfId="19" applyFont="1" applyBorder="1" applyAlignment="1">
      <alignment horizontal="center" vertical="center"/>
    </xf>
    <xf numFmtId="164" fontId="16" fillId="0" borderId="35" xfId="19" applyFont="1" applyBorder="1" applyAlignment="1">
      <alignment horizontal="center" vertical="center"/>
    </xf>
    <xf numFmtId="164" fontId="16" fillId="0" borderId="40" xfId="19" applyFont="1" applyBorder="1" applyAlignment="1">
      <alignment horizontal="center" vertical="center"/>
    </xf>
    <xf numFmtId="164" fontId="16" fillId="0" borderId="38" xfId="19" applyFont="1" applyBorder="1" applyAlignment="1">
      <alignment horizontal="center" vertical="center"/>
    </xf>
    <xf numFmtId="164" fontId="16" fillId="0" borderId="36" xfId="19" applyFont="1" applyBorder="1" applyAlignment="1">
      <alignment horizontal="center" vertical="center"/>
    </xf>
    <xf numFmtId="164" fontId="16" fillId="0" borderId="0" xfId="19" applyFont="1" applyBorder="1" applyAlignment="1">
      <alignment horizontal="center" vertical="center"/>
    </xf>
    <xf numFmtId="0" fontId="16" fillId="0" borderId="61" xfId="18" applyFont="1" applyBorder="1" applyAlignment="1">
      <alignment horizontal="center" vertical="center"/>
    </xf>
    <xf numFmtId="164" fontId="16" fillId="0" borderId="58" xfId="19" applyFont="1" applyBorder="1" applyAlignment="1">
      <alignment horizontal="center" vertical="center"/>
    </xf>
    <xf numFmtId="164" fontId="16" fillId="0" borderId="66" xfId="19" applyFont="1" applyBorder="1" applyAlignment="1">
      <alignment horizontal="center" vertical="center"/>
    </xf>
    <xf numFmtId="164" fontId="16" fillId="0" borderId="68" xfId="19" applyFont="1" applyBorder="1" applyAlignment="1">
      <alignment horizontal="center" vertical="center"/>
    </xf>
    <xf numFmtId="164" fontId="16" fillId="0" borderId="63" xfId="19" applyFont="1" applyBorder="1" applyAlignment="1">
      <alignment horizontal="center" vertical="center"/>
    </xf>
    <xf numFmtId="164" fontId="16" fillId="0" borderId="67" xfId="19" applyFont="1" applyBorder="1" applyAlignment="1">
      <alignment horizontal="center" vertical="center"/>
    </xf>
    <xf numFmtId="164" fontId="16" fillId="0" borderId="44" xfId="19" applyFont="1" applyBorder="1" applyAlignment="1">
      <alignment horizontal="center" vertical="center"/>
    </xf>
    <xf numFmtId="0" fontId="1" fillId="0" borderId="59" xfId="18" applyBorder="1" applyAlignment="1">
      <alignment horizontal="center" vertical="center"/>
    </xf>
    <xf numFmtId="167" fontId="9" fillId="0" borderId="58" xfId="19" applyNumberFormat="1" applyFont="1" applyBorder="1" applyAlignment="1">
      <alignment horizontal="center" vertical="center"/>
    </xf>
    <xf numFmtId="164" fontId="9" fillId="0" borderId="66" xfId="19" applyFont="1" applyBorder="1" applyAlignment="1">
      <alignment horizontal="center" vertical="center"/>
    </xf>
    <xf numFmtId="164" fontId="9" fillId="0" borderId="68" xfId="19" applyFont="1" applyBorder="1" applyAlignment="1">
      <alignment horizontal="center" vertical="center"/>
    </xf>
    <xf numFmtId="164" fontId="9" fillId="0" borderId="63" xfId="19" applyFont="1" applyBorder="1" applyAlignment="1">
      <alignment horizontal="center" vertical="center"/>
    </xf>
    <xf numFmtId="164" fontId="9" fillId="0" borderId="67" xfId="19" applyFont="1" applyBorder="1" applyAlignment="1">
      <alignment horizontal="center" vertical="center"/>
    </xf>
    <xf numFmtId="164" fontId="9" fillId="0" borderId="58" xfId="19" applyFont="1" applyBorder="1" applyAlignment="1">
      <alignment horizontal="center" vertical="center"/>
    </xf>
    <xf numFmtId="164" fontId="9" fillId="0" borderId="44" xfId="19" applyFont="1" applyBorder="1" applyAlignment="1">
      <alignment horizontal="center" vertical="center"/>
    </xf>
    <xf numFmtId="164" fontId="1" fillId="0" borderId="44" xfId="19" applyFont="1" applyBorder="1" applyAlignment="1">
      <alignment horizontal="center" vertical="center"/>
    </xf>
    <xf numFmtId="9" fontId="1" fillId="0" borderId="59" xfId="18" applyNumberFormat="1" applyBorder="1" applyAlignment="1">
      <alignment horizontal="center" vertical="center" wrapText="1"/>
    </xf>
    <xf numFmtId="164" fontId="16" fillId="0" borderId="58" xfId="19" applyFont="1" applyBorder="1">
      <alignment vertical="center"/>
    </xf>
    <xf numFmtId="164" fontId="16" fillId="0" borderId="66" xfId="19" applyFont="1" applyBorder="1">
      <alignment vertical="center"/>
    </xf>
    <xf numFmtId="164" fontId="16" fillId="0" borderId="68" xfId="19" applyFont="1" applyBorder="1">
      <alignment vertical="center"/>
    </xf>
    <xf numFmtId="164" fontId="16" fillId="0" borderId="63" xfId="19" applyFont="1" applyBorder="1">
      <alignment vertical="center"/>
    </xf>
    <xf numFmtId="164" fontId="16" fillId="0" borderId="67" xfId="19" applyFont="1" applyBorder="1">
      <alignment vertical="center"/>
    </xf>
    <xf numFmtId="164" fontId="16" fillId="0" borderId="44" xfId="19" applyFont="1" applyBorder="1">
      <alignment vertical="center"/>
    </xf>
    <xf numFmtId="164" fontId="1" fillId="3" borderId="0" xfId="19" applyFont="1" applyFill="1" applyBorder="1">
      <alignment vertical="center"/>
    </xf>
    <xf numFmtId="0" fontId="1" fillId="3" borderId="0" xfId="18" applyFill="1" applyBorder="1" applyAlignment="1">
      <alignment horizontal="center" vertical="center"/>
    </xf>
    <xf numFmtId="167" fontId="1" fillId="3" borderId="0" xfId="18" applyNumberFormat="1" applyFill="1" applyBorder="1">
      <alignment vertical="center"/>
    </xf>
    <xf numFmtId="0" fontId="1" fillId="3" borderId="0" xfId="18" applyFill="1" applyBorder="1">
      <alignment vertical="center"/>
    </xf>
    <xf numFmtId="9" fontId="1" fillId="0" borderId="0" xfId="18" applyNumberFormat="1">
      <alignment vertical="center"/>
    </xf>
    <xf numFmtId="169" fontId="1" fillId="0" borderId="0" xfId="19" applyNumberFormat="1" applyFont="1">
      <alignment vertical="center"/>
    </xf>
    <xf numFmtId="0" fontId="1" fillId="0" borderId="0" xfId="20" applyNumberFormat="1" applyFont="1">
      <alignment vertical="center"/>
    </xf>
    <xf numFmtId="9" fontId="1" fillId="0" borderId="0" xfId="20" applyFont="1">
      <alignment vertical="center"/>
    </xf>
    <xf numFmtId="164" fontId="14" fillId="0" borderId="7" xfId="1" applyFont="1" applyFill="1" applyBorder="1">
      <alignment vertical="center"/>
    </xf>
    <xf numFmtId="164" fontId="17" fillId="0" borderId="0" xfId="1" applyFont="1">
      <alignment vertical="center"/>
    </xf>
    <xf numFmtId="164" fontId="0" fillId="0" borderId="0" xfId="1" applyFont="1">
      <alignment vertical="center"/>
    </xf>
    <xf numFmtId="164" fontId="12" fillId="3" borderId="6" xfId="1" applyFont="1" applyFill="1" applyBorder="1" applyAlignment="1">
      <alignment horizontal="center" vertical="center"/>
    </xf>
    <xf numFmtId="164" fontId="12" fillId="3" borderId="7" xfId="1" applyFont="1" applyFill="1" applyBorder="1" applyAlignment="1">
      <alignment horizontal="center" vertical="center"/>
    </xf>
    <xf numFmtId="164" fontId="10" fillId="3" borderId="7" xfId="1" applyFont="1" applyFill="1" applyBorder="1" applyAlignment="1">
      <alignment horizontal="center" vertical="center"/>
    </xf>
    <xf numFmtId="164" fontId="10" fillId="3" borderId="11" xfId="1" applyFont="1" applyFill="1" applyBorder="1" applyAlignment="1">
      <alignment horizontal="center" vertical="center"/>
    </xf>
    <xf numFmtId="164" fontId="8" fillId="0" borderId="19" xfId="1" applyFont="1" applyFill="1" applyBorder="1" applyAlignment="1">
      <alignment horizontal="center" vertical="center"/>
    </xf>
    <xf numFmtId="164" fontId="8" fillId="0" borderId="75" xfId="1" applyFont="1" applyFill="1" applyBorder="1" applyAlignment="1">
      <alignment horizontal="center" vertical="center"/>
    </xf>
    <xf numFmtId="164" fontId="8" fillId="0" borderId="1" xfId="1" applyFont="1" applyFill="1" applyBorder="1" applyAlignment="1">
      <alignment horizontal="center" vertical="center"/>
    </xf>
    <xf numFmtId="164" fontId="8" fillId="0" borderId="76" xfId="1" applyFont="1" applyFill="1" applyBorder="1" applyAlignment="1">
      <alignment horizontal="center" vertical="center"/>
    </xf>
    <xf numFmtId="164" fontId="8" fillId="0" borderId="4" xfId="1" applyFont="1" applyFill="1" applyBorder="1" applyAlignment="1">
      <alignment horizontal="center" vertical="center"/>
    </xf>
    <xf numFmtId="164" fontId="8" fillId="0" borderId="78" xfId="1" applyFont="1" applyFill="1" applyBorder="1" applyAlignment="1">
      <alignment horizontal="center" vertical="center"/>
    </xf>
    <xf numFmtId="164" fontId="8" fillId="0" borderId="6" xfId="1" applyFont="1" applyFill="1" applyBorder="1" applyAlignment="1">
      <alignment horizontal="center" vertical="center"/>
    </xf>
    <xf numFmtId="164" fontId="8" fillId="0" borderId="7" xfId="1" applyFont="1" applyFill="1" applyBorder="1" applyAlignment="1">
      <alignment horizontal="center" vertical="center"/>
    </xf>
    <xf numFmtId="164" fontId="8" fillId="0" borderId="7" xfId="1" applyFont="1" applyFill="1" applyBorder="1" applyAlignment="1">
      <alignment vertical="center"/>
    </xf>
    <xf numFmtId="164" fontId="8" fillId="0" borderId="44" xfId="1" applyFont="1" applyFill="1" applyBorder="1" applyAlignment="1">
      <alignment horizontal="center" vertical="center"/>
    </xf>
    <xf numFmtId="164" fontId="8" fillId="0" borderId="67" xfId="1" applyFont="1" applyFill="1" applyBorder="1" applyAlignment="1">
      <alignment horizontal="center" vertical="center"/>
    </xf>
    <xf numFmtId="164" fontId="8" fillId="0" borderId="57" xfId="1" applyFont="1" applyFill="1" applyBorder="1" applyAlignment="1">
      <alignment horizontal="center" vertical="center"/>
    </xf>
    <xf numFmtId="164" fontId="8" fillId="0" borderId="11" xfId="1" applyFont="1" applyFill="1" applyBorder="1" applyAlignment="1">
      <alignment horizontal="center" vertical="center"/>
    </xf>
    <xf numFmtId="164" fontId="10" fillId="2" borderId="26" xfId="1" applyFont="1" applyFill="1" applyBorder="1" applyAlignment="1">
      <alignment horizontal="center" vertical="center"/>
    </xf>
    <xf numFmtId="164" fontId="10" fillId="2" borderId="14" xfId="1" applyFont="1" applyFill="1" applyBorder="1" applyAlignment="1">
      <alignment horizontal="center" vertical="center"/>
    </xf>
    <xf numFmtId="164" fontId="8" fillId="0" borderId="0" xfId="1" applyFont="1" applyFill="1" applyBorder="1" applyAlignment="1">
      <alignment vertical="center"/>
    </xf>
    <xf numFmtId="164" fontId="0" fillId="0" borderId="0" xfId="1" applyFont="1" applyFill="1">
      <alignment vertical="center"/>
    </xf>
    <xf numFmtId="164" fontId="20" fillId="7" borderId="0" xfId="1" applyFont="1" applyFill="1" applyBorder="1" applyAlignment="1">
      <alignment horizontal="center" vertical="center"/>
    </xf>
    <xf numFmtId="164" fontId="0" fillId="5" borderId="0" xfId="1" applyFont="1" applyFill="1">
      <alignment vertical="center"/>
    </xf>
    <xf numFmtId="164" fontId="10" fillId="3" borderId="7" xfId="1" applyFont="1" applyFill="1" applyBorder="1">
      <alignment vertical="center"/>
    </xf>
    <xf numFmtId="164" fontId="0" fillId="0" borderId="0" xfId="1" applyFont="1" applyAlignment="1">
      <alignment vertical="center"/>
    </xf>
    <xf numFmtId="164" fontId="8" fillId="5" borderId="44" xfId="1" applyFont="1" applyFill="1" applyBorder="1" applyAlignment="1">
      <alignment horizontal="center" vertical="center"/>
    </xf>
    <xf numFmtId="164" fontId="8" fillId="5" borderId="66" xfId="1" applyFont="1" applyFill="1" applyBorder="1" applyAlignment="1">
      <alignment horizontal="center" vertical="center"/>
    </xf>
    <xf numFmtId="164" fontId="15" fillId="2" borderId="11" xfId="1" applyFont="1" applyFill="1" applyBorder="1" applyAlignment="1">
      <alignment vertical="center"/>
    </xf>
    <xf numFmtId="164" fontId="10" fillId="2" borderId="11" xfId="1" applyFont="1" applyFill="1" applyBorder="1" applyAlignment="1">
      <alignment horizontal="center" vertical="center"/>
    </xf>
    <xf numFmtId="164" fontId="8" fillId="0" borderId="0" xfId="1" applyFont="1" applyFill="1" applyBorder="1" applyAlignment="1">
      <alignment horizontal="center" vertical="center"/>
    </xf>
    <xf numFmtId="164" fontId="8" fillId="0" borderId="0" xfId="1" applyFont="1" applyFill="1" applyBorder="1" applyAlignment="1">
      <alignment horizontal="center" vertical="center" textRotation="90" wrapText="1"/>
    </xf>
    <xf numFmtId="164" fontId="10" fillId="0" borderId="0" xfId="1" applyFont="1" applyFill="1" applyBorder="1" applyAlignment="1">
      <alignment horizontal="center" vertical="center"/>
    </xf>
    <xf numFmtId="164" fontId="14" fillId="5" borderId="66" xfId="1" applyFont="1" applyFill="1" applyBorder="1" applyAlignment="1">
      <alignment vertical="center"/>
    </xf>
    <xf numFmtId="164" fontId="8" fillId="0" borderId="32" xfId="1" applyFont="1" applyFill="1" applyBorder="1" applyAlignment="1">
      <alignment horizontal="center" vertical="center"/>
    </xf>
    <xf numFmtId="164" fontId="8" fillId="0" borderId="87" xfId="1" applyFont="1" applyFill="1" applyBorder="1" applyAlignment="1">
      <alignment horizontal="center" vertical="center"/>
    </xf>
    <xf numFmtId="164" fontId="0" fillId="6" borderId="0" xfId="1" applyFont="1" applyFill="1">
      <alignment vertical="center"/>
    </xf>
    <xf numFmtId="164" fontId="0" fillId="3" borderId="0" xfId="1" applyFont="1" applyFill="1">
      <alignment vertical="center"/>
    </xf>
    <xf numFmtId="164" fontId="8" fillId="0" borderId="77" xfId="1" applyFont="1" applyFill="1" applyBorder="1" applyAlignment="1">
      <alignment horizontal="center" vertical="center"/>
    </xf>
    <xf numFmtId="164" fontId="8" fillId="0" borderId="58" xfId="1" applyFont="1" applyFill="1" applyBorder="1" applyAlignment="1">
      <alignment horizontal="center" vertical="center"/>
    </xf>
    <xf numFmtId="164" fontId="10" fillId="3" borderId="22" xfId="1" applyFont="1" applyFill="1" applyBorder="1" applyAlignment="1">
      <alignment horizontal="center" vertical="center"/>
    </xf>
    <xf numFmtId="164" fontId="15" fillId="2" borderId="22" xfId="1" applyFont="1" applyFill="1" applyBorder="1" applyAlignment="1">
      <alignment vertical="center"/>
    </xf>
    <xf numFmtId="164" fontId="20" fillId="0" borderId="0" xfId="1" applyFont="1" applyFill="1" applyBorder="1" applyAlignment="1">
      <alignment horizontal="center" vertical="center"/>
    </xf>
    <xf numFmtId="0" fontId="0" fillId="0" borderId="0" xfId="0" applyAlignment="1"/>
    <xf numFmtId="164" fontId="12" fillId="3" borderId="20" xfId="1" applyFont="1" applyFill="1" applyBorder="1" applyAlignment="1">
      <alignment horizontal="center" vertical="center"/>
    </xf>
    <xf numFmtId="164" fontId="12" fillId="3" borderId="12" xfId="1" applyFont="1" applyFill="1" applyBorder="1" applyAlignment="1">
      <alignment horizontal="center" vertical="center"/>
    </xf>
    <xf numFmtId="164" fontId="12" fillId="3" borderId="24" xfId="1" applyFont="1" applyFill="1" applyBorder="1" applyAlignment="1">
      <alignment horizontal="center" vertical="center"/>
    </xf>
    <xf numFmtId="164" fontId="12" fillId="3" borderId="42" xfId="1" applyFont="1" applyFill="1" applyBorder="1" applyAlignment="1">
      <alignment horizontal="center" vertical="center"/>
    </xf>
    <xf numFmtId="164" fontId="12" fillId="3" borderId="27" xfId="1" applyFont="1" applyFill="1" applyBorder="1" applyAlignment="1">
      <alignment horizontal="center" vertical="center"/>
    </xf>
    <xf numFmtId="164" fontId="12" fillId="3" borderId="30" xfId="1" applyFont="1" applyFill="1" applyBorder="1" applyAlignment="1">
      <alignment horizontal="center" vertical="center"/>
    </xf>
    <xf numFmtId="164" fontId="12" fillId="3" borderId="20" xfId="1" quotePrefix="1" applyFont="1" applyFill="1" applyBorder="1" applyAlignment="1">
      <alignment horizontal="center" vertical="center"/>
    </xf>
    <xf numFmtId="164" fontId="12" fillId="3" borderId="12" xfId="1" quotePrefix="1" applyFont="1" applyFill="1" applyBorder="1" applyAlignment="1">
      <alignment horizontal="center" vertical="center"/>
    </xf>
    <xf numFmtId="164" fontId="12" fillId="3" borderId="24" xfId="1" quotePrefix="1" applyFont="1" applyFill="1" applyBorder="1" applyAlignment="1">
      <alignment horizontal="center" vertical="center"/>
    </xf>
    <xf numFmtId="164" fontId="8" fillId="0" borderId="20" xfId="1" applyFont="1" applyBorder="1" applyAlignment="1">
      <alignment horizontal="center" vertical="center"/>
    </xf>
    <xf numFmtId="164" fontId="8" fillId="0" borderId="37" xfId="1" applyFont="1" applyBorder="1" applyAlignment="1">
      <alignment horizontal="center" vertical="center"/>
    </xf>
    <xf numFmtId="164" fontId="8" fillId="0" borderId="42" xfId="1" applyFont="1" applyBorder="1" applyAlignment="1">
      <alignment horizontal="center" vertical="center"/>
    </xf>
    <xf numFmtId="164" fontId="8" fillId="0" borderId="20" xfId="1" applyFont="1" applyBorder="1" applyAlignment="1">
      <alignment horizontal="center" vertical="center" textRotation="90" wrapText="1"/>
    </xf>
    <xf numFmtId="164" fontId="8" fillId="0" borderId="37" xfId="1" applyFont="1" applyBorder="1" applyAlignment="1">
      <alignment horizontal="center" vertical="center" textRotation="90" wrapText="1"/>
    </xf>
    <xf numFmtId="164" fontId="8" fillId="0" borderId="42" xfId="1" applyFont="1" applyBorder="1" applyAlignment="1">
      <alignment horizontal="center" vertical="center" textRotation="90" wrapText="1"/>
    </xf>
    <xf numFmtId="164" fontId="8" fillId="0" borderId="20" xfId="1" applyFont="1" applyFill="1" applyBorder="1" applyAlignment="1">
      <alignment horizontal="center" vertical="center" textRotation="90" wrapText="1"/>
    </xf>
    <xf numFmtId="164" fontId="8" fillId="0" borderId="37" xfId="1" applyFont="1" applyFill="1" applyBorder="1" applyAlignment="1">
      <alignment horizontal="center" vertical="center" textRotation="90" wrapText="1"/>
    </xf>
    <xf numFmtId="164" fontId="8" fillId="0" borderId="42" xfId="1" applyFont="1" applyFill="1" applyBorder="1" applyAlignment="1">
      <alignment horizontal="center" vertical="center" textRotation="90" wrapText="1"/>
    </xf>
    <xf numFmtId="164" fontId="10" fillId="2" borderId="27" xfId="1" applyFont="1" applyFill="1" applyBorder="1" applyAlignment="1">
      <alignment horizontal="center" vertical="center"/>
    </xf>
    <xf numFmtId="164" fontId="12" fillId="3" borderId="13" xfId="1" quotePrefix="1" applyFont="1" applyFill="1" applyBorder="1" applyAlignment="1">
      <alignment horizontal="center" vertical="center"/>
    </xf>
    <xf numFmtId="0" fontId="16" fillId="0" borderId="43" xfId="10" applyFont="1" applyBorder="1" applyAlignment="1">
      <alignment horizontal="center" vertical="center"/>
    </xf>
    <xf numFmtId="0" fontId="16" fillId="0" borderId="44" xfId="10" applyFont="1" applyBorder="1" applyAlignment="1">
      <alignment horizontal="center" vertical="center"/>
    </xf>
    <xf numFmtId="0" fontId="16" fillId="0" borderId="69" xfId="10" applyFont="1" applyBorder="1" applyAlignment="1">
      <alignment horizontal="center" vertical="center"/>
    </xf>
    <xf numFmtId="0" fontId="3" fillId="3" borderId="12" xfId="10" applyFill="1" applyBorder="1" applyAlignment="1">
      <alignment horizontal="center" vertical="center"/>
    </xf>
    <xf numFmtId="0" fontId="3" fillId="3" borderId="0" xfId="10" applyFill="1" applyBorder="1" applyAlignment="1">
      <alignment horizontal="center" vertical="center"/>
    </xf>
    <xf numFmtId="0" fontId="3" fillId="0" borderId="37" xfId="10" applyBorder="1" applyAlignment="1">
      <alignment horizontal="center" vertical="center"/>
    </xf>
    <xf numFmtId="0" fontId="3" fillId="0" borderId="79" xfId="10" applyBorder="1" applyAlignment="1">
      <alignment horizontal="center" vertical="center"/>
    </xf>
    <xf numFmtId="0" fontId="3" fillId="0" borderId="42" xfId="10" applyBorder="1" applyAlignment="1">
      <alignment horizontal="center" vertical="center"/>
    </xf>
    <xf numFmtId="0" fontId="3" fillId="0" borderId="86" xfId="10" applyBorder="1" applyAlignment="1">
      <alignment horizontal="center" vertical="center"/>
    </xf>
    <xf numFmtId="0" fontId="16" fillId="0" borderId="42" xfId="10" applyFont="1" applyBorder="1" applyAlignment="1">
      <alignment horizontal="center" vertical="center"/>
    </xf>
    <xf numFmtId="0" fontId="16" fillId="0" borderId="27" xfId="10" applyFont="1" applyBorder="1" applyAlignment="1">
      <alignment horizontal="center" vertical="center"/>
    </xf>
    <xf numFmtId="0" fontId="16" fillId="0" borderId="86" xfId="10" applyFont="1" applyBorder="1" applyAlignment="1">
      <alignment horizontal="center" vertical="center"/>
    </xf>
    <xf numFmtId="0" fontId="3" fillId="0" borderId="82" xfId="10" applyBorder="1" applyAlignment="1">
      <alignment horizontal="center" vertical="center"/>
    </xf>
    <xf numFmtId="0" fontId="3" fillId="0" borderId="49" xfId="10" applyBorder="1" applyAlignment="1">
      <alignment horizontal="center" vertical="center"/>
    </xf>
    <xf numFmtId="0" fontId="3" fillId="0" borderId="77" xfId="10" applyBorder="1" applyAlignment="1">
      <alignment horizontal="center" vertical="center"/>
    </xf>
    <xf numFmtId="0" fontId="3" fillId="0" borderId="76" xfId="10" applyBorder="1" applyAlignment="1">
      <alignment horizontal="center" vertical="center"/>
    </xf>
    <xf numFmtId="0" fontId="3" fillId="0" borderId="78" xfId="10" applyBorder="1" applyAlignment="1">
      <alignment horizontal="center" vertical="center"/>
    </xf>
    <xf numFmtId="0" fontId="3" fillId="0" borderId="43" xfId="10" applyBorder="1" applyAlignment="1">
      <alignment horizontal="center" vertical="center"/>
    </xf>
    <xf numFmtId="0" fontId="3" fillId="0" borderId="69" xfId="10" applyBorder="1" applyAlignment="1">
      <alignment horizontal="center" vertical="center"/>
    </xf>
    <xf numFmtId="0" fontId="16" fillId="0" borderId="37" xfId="10" applyFont="1" applyBorder="1" applyAlignment="1">
      <alignment horizontal="center" vertical="center"/>
    </xf>
    <xf numFmtId="0" fontId="16" fillId="0" borderId="0" xfId="10" applyFont="1" applyBorder="1" applyAlignment="1">
      <alignment horizontal="center" vertical="center"/>
    </xf>
    <xf numFmtId="0" fontId="16" fillId="0" borderId="79" xfId="10" applyFont="1" applyBorder="1" applyAlignment="1">
      <alignment horizontal="center" vertical="center"/>
    </xf>
    <xf numFmtId="0" fontId="3" fillId="0" borderId="61" xfId="10" applyBorder="1" applyAlignment="1">
      <alignment horizontal="center" vertical="center"/>
    </xf>
    <xf numFmtId="0" fontId="3" fillId="0" borderId="20" xfId="10" applyBorder="1" applyAlignment="1">
      <alignment horizontal="center" vertical="center"/>
    </xf>
    <xf numFmtId="0" fontId="3" fillId="0" borderId="50" xfId="10" applyBorder="1" applyAlignment="1">
      <alignment horizontal="center" vertical="center"/>
    </xf>
    <xf numFmtId="0" fontId="18" fillId="0" borderId="0" xfId="10" applyFont="1" applyAlignment="1">
      <alignment horizontal="center" vertical="center"/>
    </xf>
    <xf numFmtId="0" fontId="16" fillId="4" borderId="20" xfId="10" applyFont="1" applyFill="1" applyBorder="1" applyAlignment="1">
      <alignment horizontal="center" vertical="center"/>
    </xf>
    <xf numFmtId="0" fontId="16" fillId="4" borderId="12" xfId="10" applyFont="1" applyFill="1" applyBorder="1" applyAlignment="1">
      <alignment horizontal="center" vertical="center"/>
    </xf>
    <xf numFmtId="0" fontId="16" fillId="4" borderId="50" xfId="10" applyFont="1" applyFill="1" applyBorder="1" applyAlignment="1">
      <alignment horizontal="center" vertical="center"/>
    </xf>
    <xf numFmtId="0" fontId="16" fillId="4" borderId="37" xfId="10" applyFont="1" applyFill="1" applyBorder="1" applyAlignment="1">
      <alignment horizontal="center" vertical="center"/>
    </xf>
    <xf numFmtId="0" fontId="16" fillId="4" borderId="0" xfId="10" applyFont="1" applyFill="1" applyBorder="1" applyAlignment="1">
      <alignment horizontal="center" vertical="center"/>
    </xf>
    <xf numFmtId="0" fontId="16" fillId="4" borderId="79" xfId="10" applyFont="1" applyFill="1" applyBorder="1" applyAlignment="1">
      <alignment horizontal="center" vertical="center"/>
    </xf>
    <xf numFmtId="0" fontId="16" fillId="4" borderId="46" xfId="10" applyFont="1" applyFill="1" applyBorder="1" applyAlignment="1">
      <alignment horizontal="center" vertical="center"/>
    </xf>
    <xf numFmtId="0" fontId="16" fillId="4" borderId="47" xfId="10" applyFont="1" applyFill="1" applyBorder="1" applyAlignment="1">
      <alignment horizontal="center" vertical="center"/>
    </xf>
    <xf numFmtId="0" fontId="16" fillId="4" borderId="80" xfId="10" applyFont="1" applyFill="1" applyBorder="1" applyAlignment="1">
      <alignment horizontal="center" vertical="center"/>
    </xf>
    <xf numFmtId="0" fontId="16" fillId="4" borderId="56" xfId="10" applyFont="1" applyFill="1" applyBorder="1" applyAlignment="1">
      <alignment horizontal="center" vertical="center"/>
    </xf>
    <xf numFmtId="0" fontId="16" fillId="4" borderId="10" xfId="10" applyFont="1" applyFill="1" applyBorder="1" applyAlignment="1">
      <alignment horizontal="center" vertical="center"/>
    </xf>
    <xf numFmtId="0" fontId="16" fillId="4" borderId="21" xfId="10" applyFont="1" applyFill="1" applyBorder="1" applyAlignment="1">
      <alignment horizontal="center" vertical="center"/>
    </xf>
    <xf numFmtId="0" fontId="16" fillId="4" borderId="75" xfId="10" applyFont="1" applyFill="1" applyBorder="1" applyAlignment="1">
      <alignment horizontal="center" vertical="center"/>
    </xf>
    <xf numFmtId="0" fontId="16" fillId="4" borderId="2" xfId="10" applyFont="1" applyFill="1" applyBorder="1" applyAlignment="1">
      <alignment horizontal="center" vertical="center"/>
    </xf>
    <xf numFmtId="0" fontId="16" fillId="4" borderId="24" xfId="10" applyFont="1" applyFill="1" applyBorder="1" applyAlignment="1">
      <alignment horizontal="center" vertical="center"/>
    </xf>
    <xf numFmtId="0" fontId="16" fillId="4" borderId="61" xfId="10" applyFont="1" applyFill="1" applyBorder="1" applyAlignment="1">
      <alignment horizontal="center" vertical="center"/>
    </xf>
    <xf numFmtId="0" fontId="16" fillId="4" borderId="49" xfId="10" applyFont="1" applyFill="1" applyBorder="1" applyAlignment="1">
      <alignment horizontal="center" vertical="center"/>
    </xf>
    <xf numFmtId="0" fontId="16" fillId="4" borderId="65" xfId="10" applyFont="1" applyFill="1" applyBorder="1" applyAlignment="1">
      <alignment horizontal="center" vertical="center"/>
    </xf>
    <xf numFmtId="0" fontId="16" fillId="4" borderId="45" xfId="10" applyFont="1" applyFill="1" applyBorder="1" applyAlignment="1">
      <alignment horizontal="center" vertical="center"/>
    </xf>
    <xf numFmtId="0" fontId="16" fillId="4" borderId="52" xfId="10" applyFont="1" applyFill="1" applyBorder="1" applyAlignment="1">
      <alignment horizontal="center" vertical="center"/>
    </xf>
    <xf numFmtId="0" fontId="16" fillId="4" borderId="32" xfId="10" applyFont="1" applyFill="1" applyBorder="1" applyAlignment="1">
      <alignment horizontal="center" vertical="center" wrapText="1"/>
    </xf>
    <xf numFmtId="0" fontId="16" fillId="4" borderId="53" xfId="10" applyFont="1" applyFill="1" applyBorder="1" applyAlignment="1">
      <alignment horizontal="center" vertical="center" wrapText="1"/>
    </xf>
    <xf numFmtId="0" fontId="16" fillId="4" borderId="53" xfId="10" applyFont="1" applyFill="1" applyBorder="1" applyAlignment="1">
      <alignment horizontal="center" vertical="center"/>
    </xf>
    <xf numFmtId="0" fontId="16" fillId="4" borderId="32" xfId="10" applyFont="1" applyFill="1" applyBorder="1" applyAlignment="1">
      <alignment horizontal="center" vertical="center"/>
    </xf>
    <xf numFmtId="0" fontId="18" fillId="0" borderId="0" xfId="18" applyFont="1" applyAlignment="1">
      <alignment horizontal="center" vertical="center"/>
    </xf>
    <xf numFmtId="0" fontId="16" fillId="4" borderId="20" xfId="18" applyFont="1" applyFill="1" applyBorder="1" applyAlignment="1">
      <alignment horizontal="center" vertical="center"/>
    </xf>
    <xf numFmtId="0" fontId="16" fillId="4" borderId="12" xfId="18" applyFont="1" applyFill="1" applyBorder="1" applyAlignment="1">
      <alignment horizontal="center" vertical="center"/>
    </xf>
    <xf numFmtId="0" fontId="16" fillId="4" borderId="50" xfId="18" applyFont="1" applyFill="1" applyBorder="1" applyAlignment="1">
      <alignment horizontal="center" vertical="center"/>
    </xf>
    <xf numFmtId="0" fontId="16" fillId="4" borderId="37" xfId="18" applyFont="1" applyFill="1" applyBorder="1" applyAlignment="1">
      <alignment horizontal="center" vertical="center"/>
    </xf>
    <xf numFmtId="0" fontId="16" fillId="4" borderId="0" xfId="18" applyFont="1" applyFill="1" applyBorder="1" applyAlignment="1">
      <alignment horizontal="center" vertical="center"/>
    </xf>
    <xf numFmtId="0" fontId="16" fillId="4" borderId="79" xfId="18" applyFont="1" applyFill="1" applyBorder="1" applyAlignment="1">
      <alignment horizontal="center" vertical="center"/>
    </xf>
    <xf numFmtId="0" fontId="16" fillId="4" borderId="46" xfId="18" applyFont="1" applyFill="1" applyBorder="1" applyAlignment="1">
      <alignment horizontal="center" vertical="center"/>
    </xf>
    <xf numFmtId="0" fontId="16" fillId="4" borderId="47" xfId="18" applyFont="1" applyFill="1" applyBorder="1" applyAlignment="1">
      <alignment horizontal="center" vertical="center"/>
    </xf>
    <xf numFmtId="0" fontId="16" fillId="4" borderId="80" xfId="18" applyFont="1" applyFill="1" applyBorder="1" applyAlignment="1">
      <alignment horizontal="center" vertical="center"/>
    </xf>
    <xf numFmtId="0" fontId="16" fillId="4" borderId="56" xfId="18" applyFont="1" applyFill="1" applyBorder="1" applyAlignment="1">
      <alignment horizontal="center" vertical="center"/>
    </xf>
    <xf numFmtId="0" fontId="16" fillId="4" borderId="10" xfId="18" applyFont="1" applyFill="1" applyBorder="1" applyAlignment="1">
      <alignment horizontal="center" vertical="center"/>
    </xf>
    <xf numFmtId="0" fontId="16" fillId="4" borderId="21" xfId="18" applyFont="1" applyFill="1" applyBorder="1" applyAlignment="1">
      <alignment horizontal="center" vertical="center"/>
    </xf>
    <xf numFmtId="0" fontId="16" fillId="4" borderId="75" xfId="18" applyFont="1" applyFill="1" applyBorder="1" applyAlignment="1">
      <alignment horizontal="center" vertical="center"/>
    </xf>
    <xf numFmtId="0" fontId="16" fillId="4" borderId="2" xfId="18" applyFont="1" applyFill="1" applyBorder="1" applyAlignment="1">
      <alignment horizontal="center" vertical="center"/>
    </xf>
    <xf numFmtId="0" fontId="16" fillId="4" borderId="24" xfId="18" applyFont="1" applyFill="1" applyBorder="1" applyAlignment="1">
      <alignment horizontal="center" vertical="center"/>
    </xf>
    <xf numFmtId="0" fontId="16" fillId="4" borderId="61" xfId="18" applyFont="1" applyFill="1" applyBorder="1" applyAlignment="1">
      <alignment horizontal="center" vertical="center"/>
    </xf>
    <xf numFmtId="0" fontId="16" fillId="4" borderId="49" xfId="18" applyFont="1" applyFill="1" applyBorder="1" applyAlignment="1">
      <alignment horizontal="center" vertical="center"/>
    </xf>
    <xf numFmtId="0" fontId="16" fillId="4" borderId="65" xfId="18" applyFont="1" applyFill="1" applyBorder="1" applyAlignment="1">
      <alignment horizontal="center" vertical="center"/>
    </xf>
    <xf numFmtId="0" fontId="16" fillId="4" borderId="45" xfId="18" applyFont="1" applyFill="1" applyBorder="1" applyAlignment="1">
      <alignment horizontal="center" vertical="center"/>
    </xf>
    <xf numFmtId="0" fontId="16" fillId="4" borderId="52" xfId="18" applyFont="1" applyFill="1" applyBorder="1" applyAlignment="1">
      <alignment horizontal="center" vertical="center"/>
    </xf>
    <xf numFmtId="0" fontId="16" fillId="4" borderId="32" xfId="18" applyFont="1" applyFill="1" applyBorder="1" applyAlignment="1">
      <alignment horizontal="center" vertical="center" wrapText="1"/>
    </xf>
    <xf numFmtId="0" fontId="16" fillId="4" borderId="53" xfId="18" applyFont="1" applyFill="1" applyBorder="1" applyAlignment="1">
      <alignment horizontal="center" vertical="center" wrapText="1"/>
    </xf>
    <xf numFmtId="0" fontId="16" fillId="4" borderId="53" xfId="18" applyFont="1" applyFill="1" applyBorder="1" applyAlignment="1">
      <alignment horizontal="center" vertical="center"/>
    </xf>
    <xf numFmtId="0" fontId="16" fillId="4" borderId="32" xfId="18" applyFont="1" applyFill="1" applyBorder="1" applyAlignment="1">
      <alignment horizontal="center" vertical="center"/>
    </xf>
    <xf numFmtId="0" fontId="16" fillId="0" borderId="43" xfId="18" applyFont="1" applyBorder="1" applyAlignment="1">
      <alignment horizontal="center" vertical="center"/>
    </xf>
    <xf numFmtId="0" fontId="16" fillId="0" borderId="44" xfId="18" applyFont="1" applyBorder="1" applyAlignment="1">
      <alignment horizontal="center" vertical="center"/>
    </xf>
    <xf numFmtId="0" fontId="16" fillId="0" borderId="69" xfId="18" applyFont="1" applyBorder="1" applyAlignment="1">
      <alignment horizontal="center" vertical="center"/>
    </xf>
    <xf numFmtId="0" fontId="1" fillId="3" borderId="12" xfId="18" applyFill="1" applyBorder="1" applyAlignment="1">
      <alignment horizontal="center" vertical="center"/>
    </xf>
    <xf numFmtId="0" fontId="1" fillId="3" borderId="0" xfId="18" applyFill="1" applyBorder="1" applyAlignment="1">
      <alignment horizontal="center" vertical="center"/>
    </xf>
    <xf numFmtId="0" fontId="1" fillId="0" borderId="37" xfId="18" applyBorder="1" applyAlignment="1">
      <alignment horizontal="center" vertical="center"/>
    </xf>
    <xf numFmtId="0" fontId="1" fillId="0" borderId="79" xfId="18" applyBorder="1" applyAlignment="1">
      <alignment horizontal="center" vertical="center"/>
    </xf>
    <xf numFmtId="0" fontId="1" fillId="0" borderId="42" xfId="18" applyBorder="1" applyAlignment="1">
      <alignment horizontal="center" vertical="center"/>
    </xf>
    <xf numFmtId="0" fontId="1" fillId="0" borderId="86" xfId="18" applyBorder="1" applyAlignment="1">
      <alignment horizontal="center" vertical="center"/>
    </xf>
    <xf numFmtId="0" fontId="16" fillId="0" borderId="42" xfId="18" applyFont="1" applyBorder="1" applyAlignment="1">
      <alignment horizontal="center" vertical="center"/>
    </xf>
    <xf numFmtId="0" fontId="16" fillId="0" borderId="27" xfId="18" applyFont="1" applyBorder="1" applyAlignment="1">
      <alignment horizontal="center" vertical="center"/>
    </xf>
    <xf numFmtId="0" fontId="16" fillId="0" borderId="86" xfId="18" applyFont="1" applyBorder="1" applyAlignment="1">
      <alignment horizontal="center" vertical="center"/>
    </xf>
    <xf numFmtId="0" fontId="1" fillId="0" borderId="82" xfId="18" applyBorder="1" applyAlignment="1">
      <alignment horizontal="center" vertical="center"/>
    </xf>
    <xf numFmtId="0" fontId="1" fillId="0" borderId="49" xfId="18" applyBorder="1" applyAlignment="1">
      <alignment horizontal="center" vertical="center"/>
    </xf>
    <xf numFmtId="0" fontId="1" fillId="0" borderId="77" xfId="18" applyBorder="1" applyAlignment="1">
      <alignment horizontal="center" vertical="center"/>
    </xf>
    <xf numFmtId="0" fontId="1" fillId="0" borderId="76" xfId="18" applyBorder="1" applyAlignment="1">
      <alignment horizontal="center" vertical="center"/>
    </xf>
    <xf numFmtId="0" fontId="1" fillId="0" borderId="78" xfId="18" applyBorder="1" applyAlignment="1">
      <alignment horizontal="center" vertical="center"/>
    </xf>
    <xf numFmtId="0" fontId="1" fillId="0" borderId="43" xfId="18" applyBorder="1" applyAlignment="1">
      <alignment horizontal="center" vertical="center"/>
    </xf>
    <xf numFmtId="0" fontId="1" fillId="0" borderId="69" xfId="18" applyBorder="1" applyAlignment="1">
      <alignment horizontal="center" vertical="center"/>
    </xf>
    <xf numFmtId="0" fontId="16" fillId="0" borderId="37" xfId="18" applyFont="1" applyBorder="1" applyAlignment="1">
      <alignment horizontal="center" vertical="center"/>
    </xf>
    <xf numFmtId="0" fontId="16" fillId="0" borderId="0" xfId="18" applyFont="1" applyBorder="1" applyAlignment="1">
      <alignment horizontal="center" vertical="center"/>
    </xf>
    <xf numFmtId="0" fontId="16" fillId="0" borderId="79" xfId="18" applyFont="1" applyBorder="1" applyAlignment="1">
      <alignment horizontal="center" vertical="center"/>
    </xf>
    <xf numFmtId="0" fontId="1" fillId="0" borderId="61" xfId="18" applyBorder="1" applyAlignment="1">
      <alignment horizontal="center" vertical="center"/>
    </xf>
    <xf numFmtId="0" fontId="1" fillId="0" borderId="20" xfId="18" applyBorder="1" applyAlignment="1">
      <alignment horizontal="center" vertical="center"/>
    </xf>
    <xf numFmtId="0" fontId="1" fillId="0" borderId="50" xfId="18" applyBorder="1" applyAlignment="1">
      <alignment horizontal="center"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quotePrefix="1">
      <alignment vertical="center"/>
    </xf>
  </cellXfs>
  <cellStyles count="21">
    <cellStyle name="Comma [0]" xfId="1" builtinId="6"/>
    <cellStyle name="Comma 2" xfId="13" xr:uid="{00000000-0005-0000-0000-000001000000}"/>
    <cellStyle name="Comma 2 2" xfId="14" xr:uid="{00000000-0005-0000-0000-000002000000}"/>
    <cellStyle name="Currency 2" xfId="15" xr:uid="{00000000-0005-0000-0000-000003000000}"/>
    <cellStyle name="Normal" xfId="0" builtinId="0"/>
    <cellStyle name="Normal 2" xfId="17" xr:uid="{00000000-0005-0000-0000-000005000000}"/>
    <cellStyle name="Percent 2" xfId="16" xr:uid="{00000000-0005-0000-0000-000006000000}"/>
    <cellStyle name="백분율 2" xfId="7" xr:uid="{00000000-0005-0000-0000-000007000000}"/>
    <cellStyle name="백분율 3" xfId="12" xr:uid="{00000000-0005-0000-0000-000008000000}"/>
    <cellStyle name="백분율 4" xfId="20" xr:uid="{00000000-0005-0000-0000-000009000000}"/>
    <cellStyle name="쉼표 [0] 2" xfId="2" xr:uid="{00000000-0005-0000-0000-00000A000000}"/>
    <cellStyle name="쉼표 [0] 3" xfId="5" xr:uid="{00000000-0005-0000-0000-00000B000000}"/>
    <cellStyle name="쉼표 [0] 4" xfId="9" xr:uid="{00000000-0005-0000-0000-00000C000000}"/>
    <cellStyle name="쉼표 [0] 5" xfId="11" xr:uid="{00000000-0005-0000-0000-00000D000000}"/>
    <cellStyle name="쉼표 [0] 6" xfId="19" xr:uid="{00000000-0005-0000-0000-00000E000000}"/>
    <cellStyle name="쉼표 2" xfId="6" xr:uid="{00000000-0005-0000-0000-00000F000000}"/>
    <cellStyle name="표준 2" xfId="3" xr:uid="{00000000-0005-0000-0000-000010000000}"/>
    <cellStyle name="표준 3" xfId="4" xr:uid="{00000000-0005-0000-0000-000011000000}"/>
    <cellStyle name="표준 4" xfId="8" xr:uid="{00000000-0005-0000-0000-000012000000}"/>
    <cellStyle name="표준 5" xfId="10" xr:uid="{00000000-0005-0000-0000-000013000000}"/>
    <cellStyle name="표준 6" xfId="18" xr:uid="{00000000-0005-0000-0000-000014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ECCB050C-C0C1-415D-A6E4-0077115906FC}">
      <tableStyleElement type="wholeTable" dxfId="1"/>
      <tableStyleElement type="headerRow" dxfId="0"/>
    </tableStyle>
  </tableStyles>
  <colors>
    <mruColors>
      <color rgb="FF0000FF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44400;\00&#45380;\&#50900;&#48516;&#44592;\&#48372;&#44256;&#51088;&#47308;\&#50900;&#48372;&#44256;&#49436;\&#44277;&#44400;&#51333;&#54633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HAE/D-4.%20&#51064;&#49324;%20&#51221;&#52293;%20(&#52712;&#50629;&#44508;&#52825;,%20&#44553;&#50668;,%20&#48373;&#47532;&#54980;&#49373;)/&#51064;&#49324;&#51221;&#52293;/&#51076;&#44552;&#54364;_HEA_2018&#45380;_&#52572;&#51333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HAE_/2.%20&#51064;&#49324;&#51221;&#52293;/3.%20&#51076;&#44552;&#44288;&#47532;/1%20&#51064;&#44148;&#48708;%20&#44228;&#54925;/2.%20&#51076;&#44552;&#53580;&#51060;&#48660;/19&#45380;/&#51076;&#44552;&#54364;_HEA_2019&#45380;_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(품검)"/>
      <sheetName val="표지(월보)"/>
      <sheetName val="품검자료"/>
      <sheetName val="ISSUE일지"/>
      <sheetName val="V.O.C"/>
      <sheetName val="DATA SHEET"/>
      <sheetName val="비상정지 DATA SHEET"/>
      <sheetName val="SYS PRESSURE"/>
      <sheetName val="VIBRATION"/>
      <sheetName val="AIR INLET TEMP"/>
      <sheetName val="MOTOR TEMP"/>
      <sheetName val="INLET FILTER DIFF PRESS"/>
      <sheetName val="COMP RUN HISTORY"/>
      <sheetName val="Shutdown History"/>
      <sheetName val="제조생산성"/>
      <sheetName val="Sheet1"/>
      <sheetName val="C Class"/>
      <sheetName val="#REF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임금표(2017)"/>
      <sheetName val="임금표(2018)"/>
      <sheetName val="호봉표(17년)"/>
      <sheetName val="호봉표(18년)"/>
      <sheetName val="경력사원 연차별 임금"/>
      <sheetName val="Sheet1"/>
    </sheetNames>
    <sheetDataSet>
      <sheetData sheetId="0">
        <row r="6">
          <cell r="I6">
            <v>5040</v>
          </cell>
        </row>
      </sheetData>
      <sheetData sheetId="1"/>
      <sheetData sheetId="2"/>
      <sheetData sheetId="3">
        <row r="5">
          <cell r="C5">
            <v>4270</v>
          </cell>
          <cell r="J5">
            <v>6030</v>
          </cell>
          <cell r="Q5">
            <v>7905</v>
          </cell>
          <cell r="X5">
            <v>10400</v>
          </cell>
        </row>
        <row r="11">
          <cell r="C11">
            <v>5240</v>
          </cell>
        </row>
      </sheetData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임금표(2017)"/>
      <sheetName val="임금표(2018)"/>
      <sheetName val="임금표(2019)"/>
      <sheetName val="호봉표(17년)"/>
      <sheetName val="호봉표(18년)"/>
      <sheetName val="호봉표(19년)"/>
      <sheetName val="경력사원 연차별 임금(18년)"/>
      <sheetName val="경력사원 연차별 임금 (19년)"/>
      <sheetName val="Sheet1"/>
    </sheetNames>
    <sheetDataSet>
      <sheetData sheetId="0">
        <row r="6">
          <cell r="I6">
            <v>5040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174"/>
  <sheetViews>
    <sheetView tabSelected="1" zoomScaleNormal="100" workbookViewId="0">
      <pane ySplit="3" topLeftCell="A100" activePane="bottomLeft" state="frozen"/>
      <selection pane="bottomLeft" activeCell="T109" sqref="T109:T130"/>
    </sheetView>
  </sheetViews>
  <sheetFormatPr defaultColWidth="9" defaultRowHeight="15"/>
  <cols>
    <col min="1" max="1" width="2.42578125" style="237" customWidth="1"/>
    <col min="2" max="2" width="3.85546875" style="237" customWidth="1"/>
    <col min="3" max="3" width="4" style="237" customWidth="1"/>
    <col min="4" max="4" width="14.7109375" style="237" bestFit="1" customWidth="1"/>
    <col min="5" max="5" width="14.85546875" style="237" bestFit="1" customWidth="1"/>
    <col min="6" max="11" width="17.28515625" style="237" bestFit="1" customWidth="1"/>
    <col min="12" max="13" width="14.85546875" style="237" bestFit="1" customWidth="1"/>
    <col min="14" max="16" width="13.140625" style="237" customWidth="1"/>
    <col min="17" max="17" width="14.85546875" style="237" bestFit="1" customWidth="1"/>
    <col min="18" max="18" width="24.5703125" style="237" customWidth="1"/>
    <col min="19" max="20" width="9" style="237"/>
    <col min="21" max="21" width="26" style="237" customWidth="1"/>
    <col min="22" max="16384" width="9" style="237"/>
  </cols>
  <sheetData>
    <row r="1" spans="1:19">
      <c r="A1" s="236" t="s">
        <v>25</v>
      </c>
      <c r="B1" s="237" t="s">
        <v>70</v>
      </c>
    </row>
    <row r="2" spans="1:19">
      <c r="A2" s="281" t="s">
        <v>80</v>
      </c>
      <c r="B2" s="282"/>
      <c r="C2" s="283"/>
      <c r="D2" s="281" t="s">
        <v>72</v>
      </c>
      <c r="E2" s="287" t="s">
        <v>132</v>
      </c>
      <c r="F2" s="288"/>
      <c r="G2" s="288"/>
      <c r="H2" s="288"/>
      <c r="I2" s="288"/>
      <c r="J2" s="288"/>
      <c r="K2" s="288"/>
      <c r="L2" s="288"/>
      <c r="M2" s="288"/>
      <c r="N2" s="288"/>
      <c r="O2" s="288"/>
      <c r="P2" s="288"/>
      <c r="Q2" s="289"/>
      <c r="R2" s="237" t="s">
        <v>138</v>
      </c>
      <c r="S2" s="237" t="s">
        <v>146</v>
      </c>
    </row>
    <row r="3" spans="1:19" ht="19.149999999999999" customHeight="1">
      <c r="A3" s="284"/>
      <c r="B3" s="285"/>
      <c r="C3" s="286"/>
      <c r="D3" s="284"/>
      <c r="E3" s="238" t="s">
        <v>24</v>
      </c>
      <c r="F3" s="239" t="s">
        <v>16</v>
      </c>
      <c r="G3" s="239" t="s">
        <v>17</v>
      </c>
      <c r="H3" s="239" t="s">
        <v>18</v>
      </c>
      <c r="I3" s="239" t="s">
        <v>19</v>
      </c>
      <c r="J3" s="239" t="s">
        <v>20</v>
      </c>
      <c r="K3" s="239" t="s">
        <v>21</v>
      </c>
      <c r="L3" s="239" t="s">
        <v>11</v>
      </c>
      <c r="M3" s="240" t="s">
        <v>12</v>
      </c>
      <c r="N3" s="240" t="s">
        <v>13</v>
      </c>
      <c r="O3" s="240" t="s">
        <v>14</v>
      </c>
      <c r="P3" s="240" t="s">
        <v>15</v>
      </c>
      <c r="Q3" s="277" t="s">
        <v>137</v>
      </c>
    </row>
    <row r="4" spans="1:19" ht="15" customHeight="1">
      <c r="A4" s="290" t="s">
        <v>22</v>
      </c>
      <c r="B4" s="293" t="s">
        <v>79</v>
      </c>
      <c r="C4" s="296" t="s">
        <v>74</v>
      </c>
      <c r="D4" s="242" t="s">
        <v>0</v>
      </c>
      <c r="E4" s="243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5"/>
    </row>
    <row r="5" spans="1:19">
      <c r="A5" s="291"/>
      <c r="B5" s="294"/>
      <c r="C5" s="297"/>
      <c r="D5" s="245" t="s">
        <v>1</v>
      </c>
      <c r="E5" s="280">
        <v>4</v>
      </c>
      <c r="F5" s="280">
        <v>4</v>
      </c>
      <c r="G5" s="280">
        <v>4</v>
      </c>
      <c r="H5" s="280">
        <v>4</v>
      </c>
      <c r="I5" s="280">
        <v>4</v>
      </c>
      <c r="J5" s="280">
        <v>4</v>
      </c>
      <c r="K5" s="280">
        <v>4</v>
      </c>
      <c r="L5" s="280">
        <v>4</v>
      </c>
      <c r="M5" s="280">
        <v>4</v>
      </c>
      <c r="N5" s="246"/>
      <c r="O5" s="246"/>
      <c r="P5" s="246"/>
      <c r="Q5" s="5">
        <f>AVERAGE(E5:P5)</f>
        <v>4</v>
      </c>
    </row>
    <row r="6" spans="1:19">
      <c r="A6" s="291"/>
      <c r="B6" s="294"/>
      <c r="C6" s="297"/>
      <c r="D6" s="245" t="s">
        <v>2</v>
      </c>
      <c r="E6" s="280">
        <v>23</v>
      </c>
      <c r="F6" s="280">
        <v>24</v>
      </c>
      <c r="G6" s="280">
        <v>24</v>
      </c>
      <c r="H6" s="280">
        <v>23</v>
      </c>
      <c r="I6" s="280">
        <v>24</v>
      </c>
      <c r="J6" s="280">
        <v>24</v>
      </c>
      <c r="K6" s="280">
        <v>23</v>
      </c>
      <c r="L6" s="280">
        <v>23</v>
      </c>
      <c r="M6" s="280">
        <v>25</v>
      </c>
      <c r="N6" s="246"/>
      <c r="O6" s="246"/>
      <c r="P6" s="246"/>
      <c r="Q6" s="5">
        <f t="shared" ref="Q6:Q18" si="0">AVERAGE(E6:P6)</f>
        <v>23.666666666666668</v>
      </c>
    </row>
    <row r="7" spans="1:19">
      <c r="A7" s="291"/>
      <c r="B7" s="294"/>
      <c r="C7" s="297"/>
      <c r="D7" s="245" t="s">
        <v>128</v>
      </c>
      <c r="E7" s="280"/>
      <c r="F7" s="280"/>
      <c r="G7" s="280">
        <v>11</v>
      </c>
      <c r="H7" s="280">
        <v>11</v>
      </c>
      <c r="I7" s="280">
        <v>12</v>
      </c>
      <c r="J7" s="280">
        <v>11</v>
      </c>
      <c r="K7" s="280">
        <v>12</v>
      </c>
      <c r="L7" s="280">
        <v>10</v>
      </c>
      <c r="M7" s="280">
        <v>10</v>
      </c>
      <c r="N7" s="246"/>
      <c r="O7" s="246"/>
      <c r="P7" s="246"/>
      <c r="Q7" s="5">
        <f t="shared" si="0"/>
        <v>11</v>
      </c>
    </row>
    <row r="8" spans="1:19">
      <c r="A8" s="291"/>
      <c r="B8" s="294"/>
      <c r="C8" s="297"/>
      <c r="D8" s="245" t="s">
        <v>3</v>
      </c>
      <c r="E8" s="280">
        <v>22</v>
      </c>
      <c r="F8" s="280">
        <v>23</v>
      </c>
      <c r="G8" s="280">
        <v>14</v>
      </c>
      <c r="H8" s="280">
        <v>15</v>
      </c>
      <c r="I8" s="280">
        <v>24</v>
      </c>
      <c r="J8" s="280">
        <v>22</v>
      </c>
      <c r="K8" s="280">
        <v>25</v>
      </c>
      <c r="L8" s="280">
        <v>25</v>
      </c>
      <c r="M8" s="280">
        <v>26</v>
      </c>
      <c r="N8" s="246"/>
      <c r="O8" s="246"/>
      <c r="P8" s="246"/>
      <c r="Q8" s="5">
        <f t="shared" si="0"/>
        <v>21.777777777777779</v>
      </c>
    </row>
    <row r="9" spans="1:19">
      <c r="A9" s="291"/>
      <c r="B9" s="294"/>
      <c r="C9" s="297"/>
      <c r="D9" s="245" t="s">
        <v>4</v>
      </c>
      <c r="E9" s="248">
        <v>0</v>
      </c>
      <c r="F9" s="249">
        <v>0</v>
      </c>
      <c r="G9" s="249">
        <v>0</v>
      </c>
      <c r="H9" s="249">
        <v>0</v>
      </c>
      <c r="I9" s="249">
        <v>0</v>
      </c>
      <c r="J9" s="249">
        <v>0</v>
      </c>
      <c r="K9" s="249">
        <v>0</v>
      </c>
      <c r="L9" s="250">
        <v>0</v>
      </c>
      <c r="M9" s="250">
        <v>0</v>
      </c>
      <c r="N9" s="250">
        <v>0</v>
      </c>
      <c r="O9" s="250">
        <v>0</v>
      </c>
      <c r="P9" s="250">
        <v>0</v>
      </c>
      <c r="Q9" s="5">
        <f t="shared" si="0"/>
        <v>0</v>
      </c>
    </row>
    <row r="10" spans="1:19">
      <c r="A10" s="291"/>
      <c r="B10" s="294"/>
      <c r="C10" s="297"/>
      <c r="D10" s="247" t="s">
        <v>5</v>
      </c>
      <c r="E10" s="248">
        <v>0</v>
      </c>
      <c r="F10" s="249">
        <v>0</v>
      </c>
      <c r="G10" s="249">
        <v>0</v>
      </c>
      <c r="H10" s="249">
        <v>0</v>
      </c>
      <c r="I10" s="249">
        <v>0</v>
      </c>
      <c r="J10" s="249">
        <v>0</v>
      </c>
      <c r="K10" s="249">
        <v>0</v>
      </c>
      <c r="L10" s="250">
        <v>0</v>
      </c>
      <c r="M10" s="250">
        <v>0</v>
      </c>
      <c r="N10" s="250">
        <v>0</v>
      </c>
      <c r="O10" s="250">
        <v>0</v>
      </c>
      <c r="P10" s="250">
        <v>0</v>
      </c>
      <c r="Q10" s="5">
        <f t="shared" si="0"/>
        <v>0</v>
      </c>
    </row>
    <row r="11" spans="1:19">
      <c r="A11" s="291"/>
      <c r="B11" s="294"/>
      <c r="C11" s="297"/>
      <c r="D11" s="251" t="s">
        <v>81</v>
      </c>
      <c r="E11" s="252">
        <f t="shared" ref="E11:K11" si="1">SUM(E4:E10)</f>
        <v>49</v>
      </c>
      <c r="F11" s="276">
        <f t="shared" si="1"/>
        <v>51</v>
      </c>
      <c r="G11" s="276">
        <f t="shared" si="1"/>
        <v>53</v>
      </c>
      <c r="H11" s="276">
        <f t="shared" si="1"/>
        <v>53</v>
      </c>
      <c r="I11" s="276">
        <f t="shared" si="1"/>
        <v>64</v>
      </c>
      <c r="J11" s="276">
        <f t="shared" si="1"/>
        <v>61</v>
      </c>
      <c r="K11" s="276">
        <f t="shared" si="1"/>
        <v>64</v>
      </c>
      <c r="L11" s="2">
        <f>SUM(L4:L10)</f>
        <v>62</v>
      </c>
      <c r="M11" s="2">
        <f t="shared" ref="M11:P11" si="2">SUM(M4:M10)</f>
        <v>65</v>
      </c>
      <c r="N11" s="2">
        <f t="shared" si="2"/>
        <v>0</v>
      </c>
      <c r="O11" s="2">
        <f t="shared" si="2"/>
        <v>0</v>
      </c>
      <c r="P11" s="2">
        <f t="shared" si="2"/>
        <v>0</v>
      </c>
      <c r="Q11" s="7">
        <f t="shared" si="0"/>
        <v>43.5</v>
      </c>
    </row>
    <row r="12" spans="1:19" ht="15" customHeight="1">
      <c r="A12" s="291"/>
      <c r="B12" s="294"/>
      <c r="C12" s="296" t="s">
        <v>76</v>
      </c>
      <c r="D12" s="245" t="s">
        <v>131</v>
      </c>
      <c r="E12" s="280">
        <v>2</v>
      </c>
      <c r="F12" s="280">
        <v>2</v>
      </c>
      <c r="G12" s="280">
        <v>2</v>
      </c>
      <c r="H12" s="280">
        <v>2</v>
      </c>
      <c r="I12" s="280">
        <v>2</v>
      </c>
      <c r="J12" s="280">
        <v>2</v>
      </c>
      <c r="K12" s="280">
        <v>3</v>
      </c>
      <c r="L12" s="280">
        <v>3</v>
      </c>
      <c r="M12" s="280">
        <v>3</v>
      </c>
      <c r="N12" s="244"/>
      <c r="O12" s="244"/>
      <c r="P12" s="244"/>
      <c r="Q12" s="4">
        <f t="shared" si="0"/>
        <v>2.3333333333333335</v>
      </c>
    </row>
    <row r="13" spans="1:19">
      <c r="A13" s="291"/>
      <c r="B13" s="294"/>
      <c r="C13" s="297"/>
      <c r="D13" s="245" t="s">
        <v>130</v>
      </c>
      <c r="E13" s="280">
        <v>13</v>
      </c>
      <c r="F13" s="280">
        <v>13</v>
      </c>
      <c r="G13" s="280">
        <v>13</v>
      </c>
      <c r="H13" s="280">
        <v>13</v>
      </c>
      <c r="I13" s="280">
        <v>13</v>
      </c>
      <c r="J13" s="280">
        <v>13</v>
      </c>
      <c r="K13" s="280">
        <v>13</v>
      </c>
      <c r="L13" s="280">
        <v>13</v>
      </c>
      <c r="M13" s="280">
        <v>12</v>
      </c>
      <c r="N13" s="253"/>
      <c r="O13" s="253"/>
      <c r="P13" s="253"/>
      <c r="Q13" s="5">
        <f t="shared" si="0"/>
        <v>12.888888888888889</v>
      </c>
    </row>
    <row r="14" spans="1:19">
      <c r="A14" s="291"/>
      <c r="B14" s="294"/>
      <c r="C14" s="297"/>
      <c r="D14" s="245" t="s">
        <v>129</v>
      </c>
      <c r="E14" s="280">
        <v>54</v>
      </c>
      <c r="F14" s="280">
        <v>52</v>
      </c>
      <c r="G14" s="280">
        <v>52</v>
      </c>
      <c r="H14" s="280">
        <v>61</v>
      </c>
      <c r="I14" s="280">
        <v>59</v>
      </c>
      <c r="J14" s="280">
        <v>62</v>
      </c>
      <c r="K14" s="280">
        <v>59</v>
      </c>
      <c r="L14" s="280">
        <v>61</v>
      </c>
      <c r="M14" s="280">
        <v>61</v>
      </c>
      <c r="N14" s="253"/>
      <c r="O14" s="253"/>
      <c r="P14" s="253"/>
      <c r="Q14" s="5">
        <f t="shared" si="0"/>
        <v>57.888888888888886</v>
      </c>
    </row>
    <row r="15" spans="1:19">
      <c r="A15" s="291"/>
      <c r="B15" s="294"/>
      <c r="C15" s="297"/>
      <c r="D15" s="245" t="s">
        <v>9</v>
      </c>
      <c r="E15" s="280">
        <v>127</v>
      </c>
      <c r="F15" s="280">
        <v>149</v>
      </c>
      <c r="G15" s="280">
        <v>136</v>
      </c>
      <c r="H15" s="280">
        <v>158</v>
      </c>
      <c r="I15" s="280">
        <v>151</v>
      </c>
      <c r="J15" s="280">
        <v>182</v>
      </c>
      <c r="K15" s="280">
        <v>175</v>
      </c>
      <c r="L15" s="280">
        <v>198</v>
      </c>
      <c r="M15" s="280">
        <v>204</v>
      </c>
      <c r="N15" s="253"/>
      <c r="O15" s="253"/>
      <c r="P15" s="253"/>
      <c r="Q15" s="5">
        <f t="shared" si="0"/>
        <v>164.44444444444446</v>
      </c>
    </row>
    <row r="16" spans="1:19">
      <c r="A16" s="291"/>
      <c r="B16" s="294"/>
      <c r="C16" s="297"/>
      <c r="D16" s="247" t="s">
        <v>10</v>
      </c>
      <c r="E16" s="280">
        <v>5</v>
      </c>
      <c r="F16" s="280">
        <v>5</v>
      </c>
      <c r="G16" s="280">
        <v>2</v>
      </c>
      <c r="H16" s="280">
        <v>14</v>
      </c>
      <c r="I16" s="280">
        <v>13</v>
      </c>
      <c r="J16" s="280">
        <v>17</v>
      </c>
      <c r="K16" s="280">
        <v>17</v>
      </c>
      <c r="L16" s="280">
        <v>22</v>
      </c>
      <c r="M16" s="280">
        <v>20</v>
      </c>
      <c r="N16" s="254"/>
      <c r="O16" s="254"/>
      <c r="P16" s="254"/>
      <c r="Q16" s="6">
        <f t="shared" si="0"/>
        <v>12.777777777777779</v>
      </c>
    </row>
    <row r="17" spans="1:21">
      <c r="A17" s="291"/>
      <c r="B17" s="294"/>
      <c r="C17" s="298"/>
      <c r="D17" s="251" t="s">
        <v>81</v>
      </c>
      <c r="E17" s="252">
        <f t="shared" ref="E17:K17" si="3">SUM(E12:E16)</f>
        <v>201</v>
      </c>
      <c r="F17" s="276">
        <f t="shared" si="3"/>
        <v>221</v>
      </c>
      <c r="G17" s="276">
        <f t="shared" si="3"/>
        <v>205</v>
      </c>
      <c r="H17" s="276">
        <f t="shared" si="3"/>
        <v>248</v>
      </c>
      <c r="I17" s="276">
        <f t="shared" si="3"/>
        <v>238</v>
      </c>
      <c r="J17" s="276">
        <f t="shared" si="3"/>
        <v>276</v>
      </c>
      <c r="K17" s="276">
        <f t="shared" si="3"/>
        <v>267</v>
      </c>
      <c r="L17" s="2">
        <f>SUM(L12:L16)</f>
        <v>297</v>
      </c>
      <c r="M17" s="2">
        <f t="shared" ref="M17:P17" si="4">SUM(M12:M16)</f>
        <v>300</v>
      </c>
      <c r="N17" s="2">
        <f t="shared" si="4"/>
        <v>0</v>
      </c>
      <c r="O17" s="2">
        <f t="shared" si="4"/>
        <v>0</v>
      </c>
      <c r="P17" s="2">
        <f t="shared" si="4"/>
        <v>0</v>
      </c>
      <c r="Q17" s="7">
        <f t="shared" si="0"/>
        <v>187.75</v>
      </c>
    </row>
    <row r="18" spans="1:21">
      <c r="A18" s="292"/>
      <c r="B18" s="295"/>
      <c r="C18" s="299" t="s">
        <v>75</v>
      </c>
      <c r="D18" s="299"/>
      <c r="E18" s="255">
        <f t="shared" ref="E18:K18" si="5">E11+E17</f>
        <v>250</v>
      </c>
      <c r="F18" s="256">
        <f t="shared" si="5"/>
        <v>272</v>
      </c>
      <c r="G18" s="256">
        <f t="shared" si="5"/>
        <v>258</v>
      </c>
      <c r="H18" s="256">
        <f t="shared" si="5"/>
        <v>301</v>
      </c>
      <c r="I18" s="256">
        <f t="shared" si="5"/>
        <v>302</v>
      </c>
      <c r="J18" s="256">
        <f t="shared" si="5"/>
        <v>337</v>
      </c>
      <c r="K18" s="256">
        <f t="shared" si="5"/>
        <v>331</v>
      </c>
      <c r="L18" s="1">
        <f>L11+L17</f>
        <v>359</v>
      </c>
      <c r="M18" s="1">
        <f t="shared" ref="M18:P18" si="6">M11+M17</f>
        <v>365</v>
      </c>
      <c r="N18" s="1">
        <f t="shared" si="6"/>
        <v>0</v>
      </c>
      <c r="O18" s="1">
        <f t="shared" si="6"/>
        <v>0</v>
      </c>
      <c r="P18" s="1">
        <f t="shared" si="6"/>
        <v>0</v>
      </c>
      <c r="Q18" s="3">
        <f t="shared" si="0"/>
        <v>231.25</v>
      </c>
    </row>
    <row r="19" spans="1:21">
      <c r="D19" s="257"/>
      <c r="E19" s="257"/>
      <c r="F19" s="257"/>
      <c r="G19" s="257"/>
      <c r="H19" s="257"/>
      <c r="I19" s="257"/>
      <c r="J19" s="257"/>
      <c r="K19" s="257"/>
      <c r="Q19" s="258"/>
    </row>
    <row r="20" spans="1:21">
      <c r="D20" s="259" t="s">
        <v>82</v>
      </c>
      <c r="E20" s="257"/>
      <c r="F20" s="257"/>
      <c r="G20" s="257"/>
      <c r="H20" s="257"/>
      <c r="I20" s="257"/>
      <c r="J20" s="257"/>
      <c r="K20" s="257"/>
      <c r="L20" s="257"/>
      <c r="M20" s="257"/>
      <c r="N20" s="257"/>
      <c r="O20" s="257"/>
      <c r="P20" s="257"/>
      <c r="Q20" s="258"/>
    </row>
    <row r="21" spans="1:21">
      <c r="D21" s="279"/>
      <c r="E21" s="257"/>
      <c r="F21" s="257"/>
      <c r="G21" s="257"/>
      <c r="H21" s="257"/>
      <c r="I21" s="257"/>
      <c r="J21" s="257"/>
      <c r="K21" s="257"/>
      <c r="L21" s="257"/>
      <c r="M21" s="257"/>
      <c r="N21" s="257"/>
      <c r="O21" s="257"/>
      <c r="P21" s="257"/>
      <c r="Q21" s="258"/>
    </row>
    <row r="22" spans="1:21">
      <c r="A22" s="236" t="s">
        <v>26</v>
      </c>
      <c r="B22" s="237" t="s">
        <v>71</v>
      </c>
      <c r="D22" s="260" t="s">
        <v>178</v>
      </c>
    </row>
    <row r="23" spans="1:21">
      <c r="A23" s="281" t="s">
        <v>73</v>
      </c>
      <c r="B23" s="282"/>
      <c r="C23" s="283"/>
      <c r="D23" s="281" t="s">
        <v>72</v>
      </c>
      <c r="E23" s="287" t="s">
        <v>132</v>
      </c>
      <c r="F23" s="288"/>
      <c r="G23" s="288"/>
      <c r="H23" s="288"/>
      <c r="I23" s="288"/>
      <c r="J23" s="288"/>
      <c r="K23" s="288"/>
      <c r="L23" s="288"/>
      <c r="M23" s="288"/>
      <c r="N23" s="288"/>
      <c r="O23" s="288"/>
      <c r="P23" s="288"/>
      <c r="Q23" s="289"/>
      <c r="R23" s="237" t="s">
        <v>139</v>
      </c>
    </row>
    <row r="24" spans="1:21">
      <c r="A24" s="284"/>
      <c r="B24" s="285"/>
      <c r="C24" s="286"/>
      <c r="D24" s="284"/>
      <c r="E24" s="238" t="s">
        <v>24</v>
      </c>
      <c r="F24" s="239" t="s">
        <v>16</v>
      </c>
      <c r="G24" s="239" t="s">
        <v>17</v>
      </c>
      <c r="H24" s="239" t="s">
        <v>18</v>
      </c>
      <c r="I24" s="239" t="s">
        <v>19</v>
      </c>
      <c r="J24" s="239" t="s">
        <v>20</v>
      </c>
      <c r="K24" s="239" t="s">
        <v>21</v>
      </c>
      <c r="L24" s="239" t="s">
        <v>11</v>
      </c>
      <c r="M24" s="261" t="s">
        <v>12</v>
      </c>
      <c r="N24" s="261" t="s">
        <v>13</v>
      </c>
      <c r="O24" s="261" t="s">
        <v>14</v>
      </c>
      <c r="P24" s="261" t="s">
        <v>15</v>
      </c>
      <c r="Q24" s="277" t="s">
        <v>75</v>
      </c>
      <c r="U24" s="262"/>
    </row>
    <row r="25" spans="1:21">
      <c r="A25" s="290" t="s">
        <v>22</v>
      </c>
      <c r="B25" s="293" t="s">
        <v>79</v>
      </c>
      <c r="C25" s="296" t="s">
        <v>74</v>
      </c>
      <c r="D25" s="242" t="s">
        <v>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20">
        <f t="shared" ref="Q25" si="7">SUM(L25:P25)</f>
        <v>0</v>
      </c>
    </row>
    <row r="26" spans="1:21">
      <c r="A26" s="291"/>
      <c r="B26" s="294"/>
      <c r="C26" s="297"/>
      <c r="D26" s="245" t="s">
        <v>1</v>
      </c>
      <c r="E26" s="280"/>
      <c r="F26" s="280"/>
      <c r="G26" s="280"/>
      <c r="H26" s="280"/>
      <c r="I26" s="280"/>
      <c r="J26" s="280"/>
      <c r="K26" s="280"/>
      <c r="L26" s="280"/>
      <c r="M26" s="280"/>
      <c r="N26" s="9"/>
      <c r="O26" s="9"/>
      <c r="P26" s="9"/>
      <c r="Q26" s="12">
        <f>SUM(L26:P26)</f>
        <v>0</v>
      </c>
    </row>
    <row r="27" spans="1:21">
      <c r="A27" s="291"/>
      <c r="B27" s="294"/>
      <c r="C27" s="297"/>
      <c r="D27" s="245" t="s">
        <v>2</v>
      </c>
      <c r="E27" s="280"/>
      <c r="F27" s="280"/>
      <c r="G27" s="280"/>
      <c r="H27" s="280"/>
      <c r="I27" s="280"/>
      <c r="J27" s="280"/>
      <c r="K27" s="280"/>
      <c r="L27" s="280"/>
      <c r="M27" s="280"/>
      <c r="N27" s="9"/>
      <c r="O27" s="9"/>
      <c r="P27" s="9"/>
      <c r="Q27" s="12">
        <f t="shared" ref="Q27:Q31" si="8">SUM(L27:P27)</f>
        <v>0</v>
      </c>
    </row>
    <row r="28" spans="1:21">
      <c r="A28" s="291"/>
      <c r="B28" s="294"/>
      <c r="C28" s="297"/>
      <c r="D28" s="245" t="s">
        <v>128</v>
      </c>
      <c r="E28" s="280"/>
      <c r="F28" s="280"/>
      <c r="G28" s="280"/>
      <c r="H28" s="280"/>
      <c r="I28" s="280"/>
      <c r="J28" s="280"/>
      <c r="K28" s="280"/>
      <c r="L28" s="280"/>
      <c r="M28" s="280"/>
      <c r="N28" s="9"/>
      <c r="O28" s="9"/>
      <c r="P28" s="9"/>
      <c r="Q28" s="12">
        <f t="shared" si="8"/>
        <v>0</v>
      </c>
    </row>
    <row r="29" spans="1:21">
      <c r="A29" s="291"/>
      <c r="B29" s="294"/>
      <c r="C29" s="297"/>
      <c r="D29" s="245" t="s">
        <v>3</v>
      </c>
      <c r="E29" s="280"/>
      <c r="F29" s="280"/>
      <c r="G29" s="280"/>
      <c r="H29" s="280"/>
      <c r="I29" s="280"/>
      <c r="J29" s="280"/>
      <c r="K29" s="280"/>
      <c r="L29" s="280"/>
      <c r="M29" s="280"/>
      <c r="N29" s="9"/>
      <c r="O29" s="9"/>
      <c r="P29" s="9"/>
      <c r="Q29" s="12">
        <f t="shared" si="8"/>
        <v>0</v>
      </c>
    </row>
    <row r="30" spans="1:21">
      <c r="A30" s="291"/>
      <c r="B30" s="294"/>
      <c r="C30" s="297"/>
      <c r="D30" s="245" t="s">
        <v>4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12">
        <f t="shared" si="8"/>
        <v>0</v>
      </c>
    </row>
    <row r="31" spans="1:21">
      <c r="A31" s="291"/>
      <c r="B31" s="294"/>
      <c r="C31" s="297"/>
      <c r="D31" s="247" t="s">
        <v>5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2">
        <f t="shared" si="8"/>
        <v>0</v>
      </c>
    </row>
    <row r="32" spans="1:21" s="260" customFormat="1">
      <c r="A32" s="291"/>
      <c r="B32" s="294"/>
      <c r="C32" s="297"/>
      <c r="D32" s="263" t="s">
        <v>75</v>
      </c>
      <c r="E32" s="122">
        <f>SUM(E25:E31)</f>
        <v>0</v>
      </c>
      <c r="F32" s="264">
        <f t="shared" ref="F32:K32" si="9">SUM(F25:F31)</f>
        <v>0</v>
      </c>
      <c r="G32" s="264">
        <f t="shared" si="9"/>
        <v>0</v>
      </c>
      <c r="H32" s="264">
        <f t="shared" si="9"/>
        <v>0</v>
      </c>
      <c r="I32" s="264">
        <f t="shared" si="9"/>
        <v>0</v>
      </c>
      <c r="J32" s="264">
        <f t="shared" si="9"/>
        <v>0</v>
      </c>
      <c r="K32" s="264">
        <f t="shared" si="9"/>
        <v>0</v>
      </c>
      <c r="L32" s="122">
        <f>SUM(L25:L31)</f>
        <v>0</v>
      </c>
      <c r="M32" s="122">
        <f t="shared" ref="M32:P32" si="10">SUM(M25:M31)</f>
        <v>0</v>
      </c>
      <c r="N32" s="122">
        <f t="shared" si="10"/>
        <v>0</v>
      </c>
      <c r="O32" s="122">
        <f t="shared" si="10"/>
        <v>0</v>
      </c>
      <c r="P32" s="122">
        <f t="shared" si="10"/>
        <v>0</v>
      </c>
      <c r="Q32" s="124">
        <f t="shared" ref="Q32" si="11">AVERAGE(L32:P32)</f>
        <v>0</v>
      </c>
    </row>
    <row r="33" spans="1:21">
      <c r="A33" s="291"/>
      <c r="B33" s="294"/>
      <c r="C33" s="297" t="s">
        <v>76</v>
      </c>
      <c r="D33" s="245" t="s">
        <v>131</v>
      </c>
      <c r="E33" s="280"/>
      <c r="F33" s="280"/>
      <c r="G33" s="280"/>
      <c r="H33" s="280"/>
      <c r="I33" s="280"/>
      <c r="J33" s="280"/>
      <c r="K33" s="280"/>
      <c r="L33" s="280"/>
      <c r="M33" s="280"/>
      <c r="N33" s="9"/>
      <c r="O33" s="9"/>
      <c r="P33" s="9"/>
      <c r="Q33" s="21">
        <f t="shared" ref="Q33:Q37" si="12">SUM(L33:P33)</f>
        <v>0</v>
      </c>
    </row>
    <row r="34" spans="1:21">
      <c r="A34" s="291"/>
      <c r="B34" s="294"/>
      <c r="C34" s="297"/>
      <c r="D34" s="245" t="s">
        <v>130</v>
      </c>
      <c r="E34" s="280"/>
      <c r="F34" s="280"/>
      <c r="G34" s="280"/>
      <c r="H34" s="280"/>
      <c r="I34" s="280"/>
      <c r="J34" s="280"/>
      <c r="K34" s="280"/>
      <c r="L34" s="280"/>
      <c r="M34" s="280"/>
      <c r="N34" s="9"/>
      <c r="O34" s="9"/>
      <c r="P34" s="9"/>
      <c r="Q34" s="12">
        <f t="shared" si="12"/>
        <v>0</v>
      </c>
    </row>
    <row r="35" spans="1:21">
      <c r="A35" s="291"/>
      <c r="B35" s="294"/>
      <c r="C35" s="297"/>
      <c r="D35" s="245" t="s">
        <v>129</v>
      </c>
      <c r="E35" s="280"/>
      <c r="F35" s="280"/>
      <c r="G35" s="280"/>
      <c r="H35" s="280"/>
      <c r="I35" s="280"/>
      <c r="J35" s="280"/>
      <c r="K35" s="280"/>
      <c r="L35" s="280"/>
      <c r="M35" s="280"/>
      <c r="N35" s="9"/>
      <c r="O35" s="9"/>
      <c r="P35" s="9"/>
      <c r="Q35" s="12">
        <f t="shared" si="12"/>
        <v>0</v>
      </c>
    </row>
    <row r="36" spans="1:21">
      <c r="A36" s="291"/>
      <c r="B36" s="294"/>
      <c r="C36" s="297"/>
      <c r="D36" s="245" t="s">
        <v>9</v>
      </c>
      <c r="E36" s="280"/>
      <c r="F36" s="280"/>
      <c r="G36" s="280"/>
      <c r="H36" s="280"/>
      <c r="I36" s="280"/>
      <c r="J36" s="280"/>
      <c r="K36" s="280"/>
      <c r="L36" s="280"/>
      <c r="M36" s="280"/>
      <c r="N36" s="9"/>
      <c r="O36" s="9"/>
      <c r="P36" s="9"/>
      <c r="Q36" s="12">
        <f t="shared" si="12"/>
        <v>0</v>
      </c>
    </row>
    <row r="37" spans="1:21">
      <c r="A37" s="291"/>
      <c r="B37" s="294"/>
      <c r="C37" s="297"/>
      <c r="D37" s="247" t="s">
        <v>10</v>
      </c>
      <c r="E37" s="280"/>
      <c r="F37" s="280"/>
      <c r="G37" s="280"/>
      <c r="H37" s="280"/>
      <c r="I37" s="280"/>
      <c r="J37" s="280"/>
      <c r="K37" s="280"/>
      <c r="L37" s="280"/>
      <c r="M37" s="280"/>
      <c r="N37" s="9"/>
      <c r="O37" s="9"/>
      <c r="P37" s="9"/>
      <c r="Q37" s="14">
        <f t="shared" si="12"/>
        <v>0</v>
      </c>
    </row>
    <row r="38" spans="1:21" s="260" customFormat="1">
      <c r="A38" s="291"/>
      <c r="B38" s="294"/>
      <c r="C38" s="298"/>
      <c r="D38" s="263" t="s">
        <v>75</v>
      </c>
      <c r="E38" s="122">
        <f>SUM(E33:E37)</f>
        <v>0</v>
      </c>
      <c r="F38" s="264">
        <f t="shared" ref="F38:K38" si="13">SUM(F33:F37)</f>
        <v>0</v>
      </c>
      <c r="G38" s="264">
        <f t="shared" si="13"/>
        <v>0</v>
      </c>
      <c r="H38" s="264">
        <f t="shared" si="13"/>
        <v>0</v>
      </c>
      <c r="I38" s="264">
        <f t="shared" si="13"/>
        <v>0</v>
      </c>
      <c r="J38" s="264">
        <f t="shared" si="13"/>
        <v>0</v>
      </c>
      <c r="K38" s="264">
        <f t="shared" si="13"/>
        <v>0</v>
      </c>
      <c r="L38" s="122">
        <f>SUM(L33:L37)</f>
        <v>0</v>
      </c>
      <c r="M38" s="122">
        <f t="shared" ref="M38:P38" si="14">SUM(M33:M37)</f>
        <v>0</v>
      </c>
      <c r="N38" s="122">
        <f t="shared" si="14"/>
        <v>0</v>
      </c>
      <c r="O38" s="122">
        <f t="shared" si="14"/>
        <v>0</v>
      </c>
      <c r="P38" s="122">
        <f t="shared" si="14"/>
        <v>0</v>
      </c>
      <c r="Q38" s="124">
        <f t="shared" ref="Q38:Q39" si="15">AVERAGE(L38:P38)</f>
        <v>0</v>
      </c>
    </row>
    <row r="39" spans="1:21">
      <c r="A39" s="292"/>
      <c r="B39" s="295"/>
      <c r="C39" s="299" t="s">
        <v>75</v>
      </c>
      <c r="D39" s="299"/>
      <c r="E39" s="265">
        <f>E32+E38</f>
        <v>0</v>
      </c>
      <c r="F39" s="265">
        <f t="shared" ref="F39:K39" si="16">F32+F38</f>
        <v>0</v>
      </c>
      <c r="G39" s="265">
        <f t="shared" si="16"/>
        <v>0</v>
      </c>
      <c r="H39" s="265">
        <f t="shared" si="16"/>
        <v>0</v>
      </c>
      <c r="I39" s="265">
        <f t="shared" si="16"/>
        <v>0</v>
      </c>
      <c r="J39" s="265">
        <f t="shared" si="16"/>
        <v>0</v>
      </c>
      <c r="K39" s="265">
        <f t="shared" si="16"/>
        <v>0</v>
      </c>
      <c r="L39" s="265">
        <f>L32+L38</f>
        <v>0</v>
      </c>
      <c r="M39" s="265">
        <f t="shared" ref="M39:P39" si="17">M32+M38</f>
        <v>0</v>
      </c>
      <c r="N39" s="265">
        <f t="shared" si="17"/>
        <v>0</v>
      </c>
      <c r="O39" s="265">
        <f t="shared" si="17"/>
        <v>0</v>
      </c>
      <c r="P39" s="265">
        <f t="shared" si="17"/>
        <v>0</v>
      </c>
      <c r="Q39" s="278">
        <f t="shared" si="15"/>
        <v>0</v>
      </c>
    </row>
    <row r="40" spans="1:21">
      <c r="P40" s="262"/>
    </row>
    <row r="41" spans="1:21">
      <c r="Q41" s="258"/>
    </row>
    <row r="42" spans="1:21">
      <c r="A42" s="236" t="s">
        <v>26</v>
      </c>
      <c r="B42" s="237" t="s">
        <v>71</v>
      </c>
      <c r="D42" s="260" t="s">
        <v>179</v>
      </c>
    </row>
    <row r="43" spans="1:21">
      <c r="A43" s="281" t="s">
        <v>73</v>
      </c>
      <c r="B43" s="282"/>
      <c r="C43" s="283"/>
      <c r="D43" s="281" t="s">
        <v>72</v>
      </c>
      <c r="E43" s="287" t="s">
        <v>132</v>
      </c>
      <c r="F43" s="288"/>
      <c r="G43" s="288"/>
      <c r="H43" s="288"/>
      <c r="I43" s="288"/>
      <c r="J43" s="288"/>
      <c r="K43" s="288"/>
      <c r="L43" s="288"/>
      <c r="M43" s="288"/>
      <c r="N43" s="288"/>
      <c r="O43" s="288"/>
      <c r="P43" s="288"/>
      <c r="Q43" s="289"/>
      <c r="R43" s="237" t="s">
        <v>140</v>
      </c>
      <c r="S43" s="237" t="s">
        <v>146</v>
      </c>
    </row>
    <row r="44" spans="1:21">
      <c r="A44" s="284"/>
      <c r="B44" s="285"/>
      <c r="C44" s="286"/>
      <c r="D44" s="284"/>
      <c r="E44" s="238" t="s">
        <v>24</v>
      </c>
      <c r="F44" s="239" t="s">
        <v>16</v>
      </c>
      <c r="G44" s="239" t="s">
        <v>17</v>
      </c>
      <c r="H44" s="239" t="s">
        <v>18</v>
      </c>
      <c r="I44" s="239" t="s">
        <v>19</v>
      </c>
      <c r="J44" s="239" t="s">
        <v>20</v>
      </c>
      <c r="K44" s="239" t="s">
        <v>21</v>
      </c>
      <c r="L44" s="239" t="s">
        <v>11</v>
      </c>
      <c r="M44" s="261" t="s">
        <v>12</v>
      </c>
      <c r="N44" s="261" t="s">
        <v>13</v>
      </c>
      <c r="O44" s="261" t="s">
        <v>14</v>
      </c>
      <c r="P44" s="261" t="s">
        <v>15</v>
      </c>
      <c r="Q44" s="277" t="s">
        <v>75</v>
      </c>
      <c r="U44" s="262"/>
    </row>
    <row r="45" spans="1:21">
      <c r="A45" s="290" t="s">
        <v>22</v>
      </c>
      <c r="B45" s="293" t="s">
        <v>79</v>
      </c>
      <c r="C45" s="296" t="s">
        <v>74</v>
      </c>
      <c r="D45" s="242" t="s">
        <v>0</v>
      </c>
      <c r="E45" s="8"/>
      <c r="F45" s="8"/>
      <c r="G45" s="8"/>
      <c r="H45" s="8"/>
      <c r="I45" s="8"/>
      <c r="J45" s="8"/>
      <c r="K45" s="8"/>
      <c r="L45" s="8"/>
      <c r="M45" s="8"/>
      <c r="N45" s="8" t="e">
        <f>N4*#REF!</f>
        <v>#REF!</v>
      </c>
      <c r="O45" s="8" t="e">
        <f>O4*#REF!</f>
        <v>#REF!</v>
      </c>
      <c r="P45" s="8" t="e">
        <f>P4*#REF!</f>
        <v>#REF!</v>
      </c>
      <c r="Q45" s="20" t="e">
        <f t="shared" ref="Q45" si="18">SUM(L45:P45)</f>
        <v>#REF!</v>
      </c>
    </row>
    <row r="46" spans="1:21">
      <c r="A46" s="291"/>
      <c r="B46" s="294"/>
      <c r="C46" s="297"/>
      <c r="D46" s="245" t="s">
        <v>1</v>
      </c>
      <c r="E46" s="280">
        <v>123215077</v>
      </c>
      <c r="F46" s="280">
        <v>126867577</v>
      </c>
      <c r="G46" s="280">
        <v>130680750</v>
      </c>
      <c r="H46" s="280">
        <v>130103466</v>
      </c>
      <c r="I46" s="280">
        <v>130680750</v>
      </c>
      <c r="J46" s="280">
        <v>126529263</v>
      </c>
      <c r="K46" s="280">
        <v>130128984</v>
      </c>
      <c r="L46" s="280">
        <v>130680750</v>
      </c>
      <c r="M46" s="280">
        <v>130556331</v>
      </c>
      <c r="N46" s="9" t="e">
        <f>N5*#REF!</f>
        <v>#REF!</v>
      </c>
      <c r="O46" s="9" t="e">
        <f>O5*#REF!</f>
        <v>#REF!</v>
      </c>
      <c r="P46" s="9" t="e">
        <f>P5*#REF!</f>
        <v>#REF!</v>
      </c>
      <c r="Q46" s="12" t="e">
        <f>SUM(L46:P46)</f>
        <v>#REF!</v>
      </c>
    </row>
    <row r="47" spans="1:21">
      <c r="A47" s="291"/>
      <c r="B47" s="294"/>
      <c r="C47" s="297"/>
      <c r="D47" s="245" t="s">
        <v>2</v>
      </c>
      <c r="E47" s="280">
        <v>541240744</v>
      </c>
      <c r="F47" s="280">
        <v>560578365</v>
      </c>
      <c r="G47" s="280">
        <v>583077007</v>
      </c>
      <c r="H47" s="280">
        <v>546507517</v>
      </c>
      <c r="I47" s="280">
        <v>579580798</v>
      </c>
      <c r="J47" s="280">
        <v>586787717</v>
      </c>
      <c r="K47" s="280">
        <v>568806424</v>
      </c>
      <c r="L47" s="280">
        <v>573835143</v>
      </c>
      <c r="M47" s="280">
        <v>598611148</v>
      </c>
      <c r="N47" s="9" t="e">
        <f>N6*#REF!</f>
        <v>#REF!</v>
      </c>
      <c r="O47" s="9" t="e">
        <f>O6*#REF!</f>
        <v>#REF!</v>
      </c>
      <c r="P47" s="9" t="e">
        <f>P6*#REF!</f>
        <v>#REF!</v>
      </c>
      <c r="Q47" s="12" t="e">
        <f t="shared" ref="Q47:Q51" si="19">SUM(L47:P47)</f>
        <v>#REF!</v>
      </c>
    </row>
    <row r="48" spans="1:21">
      <c r="A48" s="291"/>
      <c r="B48" s="294"/>
      <c r="C48" s="297"/>
      <c r="D48" s="245" t="s">
        <v>128</v>
      </c>
      <c r="E48" s="280"/>
      <c r="F48" s="280"/>
      <c r="G48" s="280">
        <v>176854144</v>
      </c>
      <c r="H48" s="280">
        <v>177229538</v>
      </c>
      <c r="I48" s="280">
        <v>183378408</v>
      </c>
      <c r="J48" s="280">
        <v>172525850</v>
      </c>
      <c r="K48" s="280">
        <v>163289891</v>
      </c>
      <c r="L48" s="280">
        <v>153982000</v>
      </c>
      <c r="M48" s="280">
        <v>152911927</v>
      </c>
      <c r="N48" s="9" t="e">
        <f>N7*#REF!</f>
        <v>#REF!</v>
      </c>
      <c r="O48" s="9" t="e">
        <f>O7*#REF!</f>
        <v>#REF!</v>
      </c>
      <c r="P48" s="9" t="e">
        <f>P7*#REF!</f>
        <v>#REF!</v>
      </c>
      <c r="Q48" s="12" t="e">
        <f t="shared" si="19"/>
        <v>#REF!</v>
      </c>
    </row>
    <row r="49" spans="1:19">
      <c r="A49" s="291"/>
      <c r="B49" s="294"/>
      <c r="C49" s="297"/>
      <c r="D49" s="245" t="s">
        <v>3</v>
      </c>
      <c r="E49" s="280">
        <v>267760635</v>
      </c>
      <c r="F49" s="280">
        <v>274246480</v>
      </c>
      <c r="G49" s="280">
        <v>148295509</v>
      </c>
      <c r="H49" s="280">
        <v>161843586</v>
      </c>
      <c r="I49" s="280">
        <v>200910395</v>
      </c>
      <c r="J49" s="280">
        <v>215158585</v>
      </c>
      <c r="K49" s="280">
        <v>233830120</v>
      </c>
      <c r="L49" s="280">
        <v>274541536</v>
      </c>
      <c r="M49" s="280">
        <v>278438027</v>
      </c>
      <c r="N49" s="9" t="e">
        <f>N8*#REF!</f>
        <v>#REF!</v>
      </c>
      <c r="O49" s="9" t="e">
        <f>O8*#REF!</f>
        <v>#REF!</v>
      </c>
      <c r="P49" s="9" t="e">
        <f>P8*#REF!</f>
        <v>#REF!</v>
      </c>
      <c r="Q49" s="12" t="e">
        <f t="shared" si="19"/>
        <v>#REF!</v>
      </c>
    </row>
    <row r="50" spans="1:19">
      <c r="A50" s="291"/>
      <c r="B50" s="294"/>
      <c r="C50" s="297"/>
      <c r="D50" s="245" t="s">
        <v>4</v>
      </c>
      <c r="E50" s="9"/>
      <c r="F50" s="9"/>
      <c r="G50" s="9"/>
      <c r="H50" s="9"/>
      <c r="I50" s="9"/>
      <c r="J50" s="9"/>
      <c r="K50" s="9"/>
      <c r="L50" s="9"/>
      <c r="M50" s="9"/>
      <c r="N50" s="9" t="e">
        <f>N9*#REF!</f>
        <v>#REF!</v>
      </c>
      <c r="O50" s="9" t="e">
        <f>O9*#REF!</f>
        <v>#REF!</v>
      </c>
      <c r="P50" s="9" t="e">
        <f>P9*#REF!</f>
        <v>#REF!</v>
      </c>
      <c r="Q50" s="12" t="e">
        <f t="shared" si="19"/>
        <v>#REF!</v>
      </c>
    </row>
    <row r="51" spans="1:19">
      <c r="A51" s="291"/>
      <c r="B51" s="294"/>
      <c r="C51" s="297"/>
      <c r="D51" s="247" t="s">
        <v>5</v>
      </c>
      <c r="E51" s="13"/>
      <c r="F51" s="13"/>
      <c r="G51" s="13"/>
      <c r="H51" s="13"/>
      <c r="I51" s="13"/>
      <c r="J51" s="13"/>
      <c r="K51" s="13"/>
      <c r="L51" s="13"/>
      <c r="M51" s="13"/>
      <c r="N51" s="13" t="e">
        <f>N10*#REF!</f>
        <v>#REF!</v>
      </c>
      <c r="O51" s="13" t="e">
        <f>O10*#REF!</f>
        <v>#REF!</v>
      </c>
      <c r="P51" s="13" t="e">
        <f>P10*#REF!</f>
        <v>#REF!</v>
      </c>
      <c r="Q51" s="12" t="e">
        <f t="shared" si="19"/>
        <v>#REF!</v>
      </c>
    </row>
    <row r="52" spans="1:19" s="260" customFormat="1">
      <c r="A52" s="291"/>
      <c r="B52" s="294"/>
      <c r="C52" s="297"/>
      <c r="D52" s="263" t="s">
        <v>75</v>
      </c>
      <c r="E52" s="122">
        <f>SUM(E45:E51)</f>
        <v>932216456</v>
      </c>
      <c r="F52" s="264">
        <f t="shared" ref="F52:K52" si="20">SUM(F45:F51)</f>
        <v>961692422</v>
      </c>
      <c r="G52" s="264">
        <f t="shared" si="20"/>
        <v>1038907410</v>
      </c>
      <c r="H52" s="264">
        <f t="shared" si="20"/>
        <v>1015684107</v>
      </c>
      <c r="I52" s="264">
        <f t="shared" si="20"/>
        <v>1094550351</v>
      </c>
      <c r="J52" s="264">
        <f t="shared" si="20"/>
        <v>1101001415</v>
      </c>
      <c r="K52" s="264">
        <f t="shared" si="20"/>
        <v>1096055419</v>
      </c>
      <c r="L52" s="122">
        <f>SUM(L45:L51)</f>
        <v>1133039429</v>
      </c>
      <c r="M52" s="122">
        <f t="shared" ref="M52:P52" si="21">SUM(M45:M51)</f>
        <v>1160517433</v>
      </c>
      <c r="N52" s="122" t="e">
        <f t="shared" si="21"/>
        <v>#REF!</v>
      </c>
      <c r="O52" s="122" t="e">
        <f t="shared" si="21"/>
        <v>#REF!</v>
      </c>
      <c r="P52" s="122" t="e">
        <f t="shared" si="21"/>
        <v>#REF!</v>
      </c>
      <c r="Q52" s="124" t="e">
        <f t="shared" ref="Q52" si="22">AVERAGE(L52:P52)</f>
        <v>#REF!</v>
      </c>
    </row>
    <row r="53" spans="1:19">
      <c r="A53" s="291"/>
      <c r="B53" s="294"/>
      <c r="C53" s="297" t="s">
        <v>76</v>
      </c>
      <c r="D53" s="245" t="s">
        <v>131</v>
      </c>
      <c r="E53" s="280">
        <v>20800000</v>
      </c>
      <c r="F53" s="280">
        <v>20426923</v>
      </c>
      <c r="G53" s="280">
        <v>22320000</v>
      </c>
      <c r="H53" s="280">
        <v>22320000</v>
      </c>
      <c r="I53" s="280">
        <v>22320000</v>
      </c>
      <c r="J53" s="280">
        <v>20646154</v>
      </c>
      <c r="K53" s="280">
        <v>33320000</v>
      </c>
      <c r="L53" s="280">
        <v>33263123</v>
      </c>
      <c r="M53" s="280">
        <v>33320000</v>
      </c>
      <c r="N53" s="9" t="e">
        <f>N12*#REF!</f>
        <v>#REF!</v>
      </c>
      <c r="O53" s="9" t="e">
        <f>O12*#REF!</f>
        <v>#REF!</v>
      </c>
      <c r="P53" s="9" t="e">
        <f>P12*#REF!</f>
        <v>#REF!</v>
      </c>
      <c r="Q53" s="21" t="e">
        <f t="shared" ref="Q53:Q57" si="23">SUM(L53:P53)</f>
        <v>#REF!</v>
      </c>
    </row>
    <row r="54" spans="1:19">
      <c r="A54" s="291"/>
      <c r="B54" s="294"/>
      <c r="C54" s="297"/>
      <c r="D54" s="245" t="s">
        <v>130</v>
      </c>
      <c r="E54" s="280">
        <v>102245577</v>
      </c>
      <c r="F54" s="280">
        <v>102012788</v>
      </c>
      <c r="G54" s="280">
        <v>107337693</v>
      </c>
      <c r="H54" s="280">
        <v>108540000</v>
      </c>
      <c r="I54" s="280">
        <v>107986154</v>
      </c>
      <c r="J54" s="280">
        <v>100267880</v>
      </c>
      <c r="K54" s="280">
        <v>107968462</v>
      </c>
      <c r="L54" s="280">
        <v>102270769</v>
      </c>
      <c r="M54" s="280">
        <v>99920000</v>
      </c>
      <c r="N54" s="9" t="e">
        <f>N13*#REF!</f>
        <v>#REF!</v>
      </c>
      <c r="O54" s="9" t="e">
        <f>O13*#REF!</f>
        <v>#REF!</v>
      </c>
      <c r="P54" s="9" t="e">
        <f>P13*#REF!</f>
        <v>#REF!</v>
      </c>
      <c r="Q54" s="12" t="e">
        <f t="shared" si="23"/>
        <v>#REF!</v>
      </c>
    </row>
    <row r="55" spans="1:19">
      <c r="A55" s="291"/>
      <c r="B55" s="294"/>
      <c r="C55" s="297"/>
      <c r="D55" s="245" t="s">
        <v>129</v>
      </c>
      <c r="E55" s="280">
        <v>333059134</v>
      </c>
      <c r="F55" s="280">
        <v>309270511</v>
      </c>
      <c r="G55" s="280">
        <v>353426522</v>
      </c>
      <c r="H55" s="280">
        <v>386671653</v>
      </c>
      <c r="I55" s="280">
        <v>393568951</v>
      </c>
      <c r="J55" s="280">
        <v>400562308</v>
      </c>
      <c r="K55" s="280">
        <v>394759584</v>
      </c>
      <c r="L55" s="280">
        <v>394316018</v>
      </c>
      <c r="M55" s="280">
        <v>405643235</v>
      </c>
      <c r="N55" s="9" t="e">
        <f>N14*#REF!</f>
        <v>#REF!</v>
      </c>
      <c r="O55" s="9" t="e">
        <f>O14*#REF!</f>
        <v>#REF!</v>
      </c>
      <c r="P55" s="9" t="e">
        <f>P14*#REF!</f>
        <v>#REF!</v>
      </c>
      <c r="Q55" s="12" t="e">
        <f t="shared" si="23"/>
        <v>#REF!</v>
      </c>
    </row>
    <row r="56" spans="1:19">
      <c r="A56" s="291"/>
      <c r="B56" s="294"/>
      <c r="C56" s="297"/>
      <c r="D56" s="245" t="s">
        <v>9</v>
      </c>
      <c r="E56" s="280">
        <v>581156286</v>
      </c>
      <c r="F56" s="280">
        <v>620535220</v>
      </c>
      <c r="G56" s="280">
        <v>606146718</v>
      </c>
      <c r="H56" s="280">
        <v>757613418</v>
      </c>
      <c r="I56" s="280">
        <v>825742771</v>
      </c>
      <c r="J56" s="280">
        <v>982117861</v>
      </c>
      <c r="K56" s="280">
        <v>968561959</v>
      </c>
      <c r="L56" s="280">
        <v>1043474290</v>
      </c>
      <c r="M56" s="280">
        <v>1070843650</v>
      </c>
      <c r="N56" s="9" t="e">
        <f>N15*#REF!</f>
        <v>#REF!</v>
      </c>
      <c r="O56" s="9" t="e">
        <f>O15*#REF!</f>
        <v>#REF!</v>
      </c>
      <c r="P56" s="9" t="e">
        <f>P15*#REF!</f>
        <v>#REF!</v>
      </c>
      <c r="Q56" s="12" t="e">
        <f t="shared" si="23"/>
        <v>#REF!</v>
      </c>
    </row>
    <row r="57" spans="1:19">
      <c r="A57" s="291"/>
      <c r="B57" s="294"/>
      <c r="C57" s="297"/>
      <c r="D57" s="247" t="s">
        <v>10</v>
      </c>
      <c r="E57" s="280">
        <v>23084519</v>
      </c>
      <c r="F57" s="280">
        <v>23104648</v>
      </c>
      <c r="G57" s="280">
        <v>9780000</v>
      </c>
      <c r="H57" s="280">
        <v>56168264</v>
      </c>
      <c r="I57" s="280">
        <v>57220261</v>
      </c>
      <c r="J57" s="280">
        <v>75023600</v>
      </c>
      <c r="K57" s="280">
        <v>69367102</v>
      </c>
      <c r="L57" s="280">
        <v>85173144</v>
      </c>
      <c r="M57" s="280">
        <v>82803658</v>
      </c>
      <c r="N57" s="9" t="e">
        <f>N16*#REF!</f>
        <v>#REF!</v>
      </c>
      <c r="O57" s="9" t="e">
        <f>O16*#REF!</f>
        <v>#REF!</v>
      </c>
      <c r="P57" s="9" t="e">
        <f>P16*#REF!</f>
        <v>#REF!</v>
      </c>
      <c r="Q57" s="14" t="e">
        <f t="shared" si="23"/>
        <v>#REF!</v>
      </c>
    </row>
    <row r="58" spans="1:19" s="260" customFormat="1">
      <c r="A58" s="291"/>
      <c r="B58" s="294"/>
      <c r="C58" s="298"/>
      <c r="D58" s="263" t="s">
        <v>75</v>
      </c>
      <c r="E58" s="122">
        <f>SUM(E53:E57)</f>
        <v>1060345516</v>
      </c>
      <c r="F58" s="264">
        <f t="shared" ref="F58:K58" si="24">SUM(F53:F57)</f>
        <v>1075350090</v>
      </c>
      <c r="G58" s="264">
        <f t="shared" si="24"/>
        <v>1099010933</v>
      </c>
      <c r="H58" s="264">
        <f t="shared" si="24"/>
        <v>1331313335</v>
      </c>
      <c r="I58" s="264">
        <f t="shared" si="24"/>
        <v>1406838137</v>
      </c>
      <c r="J58" s="264">
        <f t="shared" si="24"/>
        <v>1578617803</v>
      </c>
      <c r="K58" s="264">
        <f t="shared" si="24"/>
        <v>1573977107</v>
      </c>
      <c r="L58" s="122">
        <f>SUM(L53:L57)</f>
        <v>1658497344</v>
      </c>
      <c r="M58" s="122">
        <f t="shared" ref="M58:P58" si="25">SUM(M53:M57)</f>
        <v>1692530543</v>
      </c>
      <c r="N58" s="122" t="e">
        <f t="shared" si="25"/>
        <v>#REF!</v>
      </c>
      <c r="O58" s="122" t="e">
        <f t="shared" si="25"/>
        <v>#REF!</v>
      </c>
      <c r="P58" s="122" t="e">
        <f t="shared" si="25"/>
        <v>#REF!</v>
      </c>
      <c r="Q58" s="124" t="e">
        <f t="shared" ref="Q58:Q59" si="26">AVERAGE(L58:P58)</f>
        <v>#REF!</v>
      </c>
    </row>
    <row r="59" spans="1:19">
      <c r="A59" s="292"/>
      <c r="B59" s="295"/>
      <c r="C59" s="299" t="s">
        <v>75</v>
      </c>
      <c r="D59" s="299"/>
      <c r="E59" s="265">
        <f>E52+E58</f>
        <v>1992561972</v>
      </c>
      <c r="F59" s="265">
        <f t="shared" ref="F59:K59" si="27">F52+F58</f>
        <v>2037042512</v>
      </c>
      <c r="G59" s="265">
        <f t="shared" si="27"/>
        <v>2137918343</v>
      </c>
      <c r="H59" s="265">
        <f t="shared" si="27"/>
        <v>2346997442</v>
      </c>
      <c r="I59" s="265">
        <f t="shared" si="27"/>
        <v>2501388488</v>
      </c>
      <c r="J59" s="265">
        <f t="shared" si="27"/>
        <v>2679619218</v>
      </c>
      <c r="K59" s="265">
        <f t="shared" si="27"/>
        <v>2670032526</v>
      </c>
      <c r="L59" s="265">
        <f>L52+L58</f>
        <v>2791536773</v>
      </c>
      <c r="M59" s="265">
        <f t="shared" ref="M59:P59" si="28">M52+M58</f>
        <v>2853047976</v>
      </c>
      <c r="N59" s="265" t="e">
        <f t="shared" si="28"/>
        <v>#REF!</v>
      </c>
      <c r="O59" s="265" t="e">
        <f t="shared" si="28"/>
        <v>#REF!</v>
      </c>
      <c r="P59" s="265" t="e">
        <f t="shared" si="28"/>
        <v>#REF!</v>
      </c>
      <c r="Q59" s="278" t="e">
        <f t="shared" si="26"/>
        <v>#REF!</v>
      </c>
    </row>
    <row r="60" spans="1:19">
      <c r="P60" s="262"/>
    </row>
    <row r="61" spans="1:19">
      <c r="A61" s="236" t="s">
        <v>26</v>
      </c>
      <c r="B61" s="237" t="s">
        <v>71</v>
      </c>
      <c r="D61" s="260" t="s">
        <v>83</v>
      </c>
    </row>
    <row r="62" spans="1:19">
      <c r="A62" s="281" t="s">
        <v>73</v>
      </c>
      <c r="B62" s="282"/>
      <c r="C62" s="283"/>
      <c r="D62" s="281" t="s">
        <v>72</v>
      </c>
      <c r="E62" s="287" t="s">
        <v>132</v>
      </c>
      <c r="F62" s="288"/>
      <c r="G62" s="288"/>
      <c r="H62" s="288"/>
      <c r="I62" s="288"/>
      <c r="J62" s="288"/>
      <c r="K62" s="288"/>
      <c r="L62" s="288"/>
      <c r="M62" s="288"/>
      <c r="N62" s="288"/>
      <c r="O62" s="288"/>
      <c r="P62" s="288"/>
      <c r="Q62" s="289"/>
      <c r="R62" s="237" t="s">
        <v>141</v>
      </c>
      <c r="S62" s="237" t="s">
        <v>145</v>
      </c>
    </row>
    <row r="63" spans="1:19">
      <c r="A63" s="284"/>
      <c r="B63" s="285"/>
      <c r="C63" s="286"/>
      <c r="D63" s="284"/>
      <c r="E63" s="238" t="s">
        <v>24</v>
      </c>
      <c r="F63" s="239" t="s">
        <v>16</v>
      </c>
      <c r="G63" s="239" t="s">
        <v>17</v>
      </c>
      <c r="H63" s="239" t="s">
        <v>18</v>
      </c>
      <c r="I63" s="239" t="s">
        <v>19</v>
      </c>
      <c r="J63" s="239" t="s">
        <v>20</v>
      </c>
      <c r="K63" s="239" t="s">
        <v>21</v>
      </c>
      <c r="L63" s="239" t="s">
        <v>11</v>
      </c>
      <c r="M63" s="261" t="s">
        <v>12</v>
      </c>
      <c r="N63" s="261" t="s">
        <v>13</v>
      </c>
      <c r="O63" s="261" t="s">
        <v>14</v>
      </c>
      <c r="P63" s="261" t="s">
        <v>15</v>
      </c>
      <c r="Q63" s="277" t="s">
        <v>75</v>
      </c>
    </row>
    <row r="64" spans="1:19">
      <c r="A64" s="290" t="s">
        <v>22</v>
      </c>
      <c r="B64" s="293" t="s">
        <v>79</v>
      </c>
      <c r="C64" s="296" t="s">
        <v>74</v>
      </c>
      <c r="D64" s="242" t="s">
        <v>0</v>
      </c>
      <c r="E64" s="8"/>
      <c r="F64" s="8"/>
      <c r="G64" s="8"/>
      <c r="H64" s="8"/>
      <c r="I64" s="8"/>
      <c r="J64" s="8"/>
      <c r="K64" s="8"/>
      <c r="L64" s="8"/>
      <c r="M64" s="8"/>
      <c r="N64" s="8" t="e">
        <f>N4*#REF!</f>
        <v>#REF!</v>
      </c>
      <c r="O64" s="8" t="e">
        <f>O4*#REF!</f>
        <v>#REF!</v>
      </c>
      <c r="P64" s="8" t="e">
        <f>P4*#REF!</f>
        <v>#REF!</v>
      </c>
      <c r="Q64" s="20" t="e">
        <f t="shared" ref="Q64" si="29">SUM(L64:P64)</f>
        <v>#REF!</v>
      </c>
    </row>
    <row r="65" spans="1:17">
      <c r="A65" s="291"/>
      <c r="B65" s="294"/>
      <c r="C65" s="297"/>
      <c r="D65" s="245" t="s">
        <v>1</v>
      </c>
      <c r="E65" s="280">
        <v>16658401</v>
      </c>
      <c r="F65" s="280">
        <v>5008054</v>
      </c>
      <c r="G65" s="280">
        <v>26401921</v>
      </c>
      <c r="H65" s="280">
        <v>23749513</v>
      </c>
      <c r="I65" s="280">
        <v>15663526</v>
      </c>
      <c r="J65" s="280">
        <v>14867766</v>
      </c>
      <c r="K65" s="280">
        <v>27127949</v>
      </c>
      <c r="L65" s="280">
        <v>24682980</v>
      </c>
      <c r="M65" s="280">
        <v>20214018</v>
      </c>
      <c r="N65" s="9" t="e">
        <f>N5*#REF!</f>
        <v>#REF!</v>
      </c>
      <c r="O65" s="9" t="e">
        <f>O5*#REF!</f>
        <v>#REF!</v>
      </c>
      <c r="P65" s="9" t="e">
        <f>P5*#REF!</f>
        <v>#REF!</v>
      </c>
      <c r="Q65" s="12" t="e">
        <f>SUM(L65:P65)</f>
        <v>#REF!</v>
      </c>
    </row>
    <row r="66" spans="1:17">
      <c r="A66" s="291"/>
      <c r="B66" s="294"/>
      <c r="C66" s="297"/>
      <c r="D66" s="245" t="s">
        <v>2</v>
      </c>
      <c r="E66" s="280">
        <v>78494705</v>
      </c>
      <c r="F66" s="280">
        <v>50036205</v>
      </c>
      <c r="G66" s="280">
        <v>80245347</v>
      </c>
      <c r="H66" s="280">
        <v>100274801</v>
      </c>
      <c r="I66" s="280">
        <v>73827926</v>
      </c>
      <c r="J66" s="280">
        <v>75996844</v>
      </c>
      <c r="K66" s="280">
        <v>83152232</v>
      </c>
      <c r="L66" s="280">
        <v>102785218</v>
      </c>
      <c r="M66" s="280">
        <v>77895210</v>
      </c>
      <c r="N66" s="9" t="e">
        <f>N6*#REF!</f>
        <v>#REF!</v>
      </c>
      <c r="O66" s="9" t="e">
        <f>O6*#REF!</f>
        <v>#REF!</v>
      </c>
      <c r="P66" s="9" t="e">
        <f>P6*#REF!</f>
        <v>#REF!</v>
      </c>
      <c r="Q66" s="12" t="e">
        <f t="shared" ref="Q66:Q70" si="30">SUM(L66:P66)</f>
        <v>#REF!</v>
      </c>
    </row>
    <row r="67" spans="1:17">
      <c r="A67" s="291"/>
      <c r="B67" s="294"/>
      <c r="C67" s="297"/>
      <c r="D67" s="245" t="s">
        <v>128</v>
      </c>
      <c r="E67" s="280"/>
      <c r="F67" s="280"/>
      <c r="G67" s="280">
        <v>24638829</v>
      </c>
      <c r="H67" s="280">
        <v>28724514</v>
      </c>
      <c r="I67" s="280">
        <v>22666759</v>
      </c>
      <c r="J67" s="280">
        <v>22432312</v>
      </c>
      <c r="K67" s="280">
        <v>14548562</v>
      </c>
      <c r="L67" s="280">
        <v>22146322</v>
      </c>
      <c r="M67" s="280">
        <v>14686652</v>
      </c>
      <c r="N67" s="9" t="e">
        <f>N7*#REF!</f>
        <v>#REF!</v>
      </c>
      <c r="O67" s="9" t="e">
        <f>O7*#REF!</f>
        <v>#REF!</v>
      </c>
      <c r="P67" s="9" t="e">
        <f>P7*#REF!</f>
        <v>#REF!</v>
      </c>
      <c r="Q67" s="12" t="e">
        <f t="shared" si="30"/>
        <v>#REF!</v>
      </c>
    </row>
    <row r="68" spans="1:17">
      <c r="A68" s="291"/>
      <c r="B68" s="294"/>
      <c r="C68" s="297"/>
      <c r="D68" s="245" t="s">
        <v>3</v>
      </c>
      <c r="E68" s="280">
        <v>43698804</v>
      </c>
      <c r="F68" s="280">
        <v>27211906</v>
      </c>
      <c r="G68" s="280">
        <v>39314905</v>
      </c>
      <c r="H68" s="280">
        <v>19546765</v>
      </c>
      <c r="I68" s="280">
        <v>24554421</v>
      </c>
      <c r="J68" s="280">
        <v>28394023</v>
      </c>
      <c r="K68" s="280">
        <v>30682934</v>
      </c>
      <c r="L68" s="280">
        <v>52503616</v>
      </c>
      <c r="M68" s="280">
        <v>57746095</v>
      </c>
      <c r="N68" s="9" t="e">
        <f>N8*#REF!</f>
        <v>#REF!</v>
      </c>
      <c r="O68" s="9" t="e">
        <f>O8*#REF!</f>
        <v>#REF!</v>
      </c>
      <c r="P68" s="9" t="e">
        <f>P8*#REF!</f>
        <v>#REF!</v>
      </c>
      <c r="Q68" s="12" t="e">
        <f t="shared" si="30"/>
        <v>#REF!</v>
      </c>
    </row>
    <row r="69" spans="1:17">
      <c r="A69" s="291"/>
      <c r="B69" s="294"/>
      <c r="C69" s="297"/>
      <c r="D69" s="245" t="s">
        <v>4</v>
      </c>
      <c r="E69" s="9"/>
      <c r="F69" s="9"/>
      <c r="G69" s="9"/>
      <c r="H69" s="9"/>
      <c r="I69" s="9"/>
      <c r="J69" s="9"/>
      <c r="K69" s="9"/>
      <c r="L69" s="9"/>
      <c r="M69" s="9"/>
      <c r="N69" s="9" t="e">
        <f>N9*#REF!</f>
        <v>#REF!</v>
      </c>
      <c r="O69" s="9" t="e">
        <f>O9*#REF!</f>
        <v>#REF!</v>
      </c>
      <c r="P69" s="9" t="e">
        <f>P9*#REF!</f>
        <v>#REF!</v>
      </c>
      <c r="Q69" s="12" t="e">
        <f t="shared" si="30"/>
        <v>#REF!</v>
      </c>
    </row>
    <row r="70" spans="1:17">
      <c r="A70" s="291"/>
      <c r="B70" s="294"/>
      <c r="C70" s="297"/>
      <c r="D70" s="247" t="s">
        <v>5</v>
      </c>
      <c r="E70" s="9"/>
      <c r="F70" s="9"/>
      <c r="G70" s="9"/>
      <c r="H70" s="9"/>
      <c r="I70" s="9"/>
      <c r="J70" s="9"/>
      <c r="K70" s="9"/>
      <c r="L70" s="9"/>
      <c r="M70" s="9"/>
      <c r="N70" s="9" t="e">
        <f>N10*#REF!</f>
        <v>#REF!</v>
      </c>
      <c r="O70" s="9" t="e">
        <f>O10*#REF!</f>
        <v>#REF!</v>
      </c>
      <c r="P70" s="9" t="e">
        <f>P10*#REF!</f>
        <v>#REF!</v>
      </c>
      <c r="Q70" s="12" t="e">
        <f t="shared" si="30"/>
        <v>#REF!</v>
      </c>
    </row>
    <row r="71" spans="1:17" s="260" customFormat="1">
      <c r="A71" s="291"/>
      <c r="B71" s="294"/>
      <c r="C71" s="297"/>
      <c r="D71" s="263" t="s">
        <v>75</v>
      </c>
      <c r="E71" s="122">
        <f>SUM(E64:E70)</f>
        <v>138851910</v>
      </c>
      <c r="F71" s="264">
        <f t="shared" ref="F71:K71" si="31">SUM(F64:F70)</f>
        <v>82256165</v>
      </c>
      <c r="G71" s="264">
        <f t="shared" si="31"/>
        <v>170601002</v>
      </c>
      <c r="H71" s="264">
        <f t="shared" si="31"/>
        <v>172295593</v>
      </c>
      <c r="I71" s="264">
        <f t="shared" si="31"/>
        <v>136712632</v>
      </c>
      <c r="J71" s="264">
        <f t="shared" si="31"/>
        <v>141690945</v>
      </c>
      <c r="K71" s="264">
        <f t="shared" si="31"/>
        <v>155511677</v>
      </c>
      <c r="L71" s="122">
        <f>SUM(L64:L70)</f>
        <v>202118136</v>
      </c>
      <c r="M71" s="122">
        <f t="shared" ref="M71:P71" si="32">SUM(M64:M70)</f>
        <v>170541975</v>
      </c>
      <c r="N71" s="122" t="e">
        <f t="shared" si="32"/>
        <v>#REF!</v>
      </c>
      <c r="O71" s="122" t="e">
        <f t="shared" si="32"/>
        <v>#REF!</v>
      </c>
      <c r="P71" s="122" t="e">
        <f t="shared" si="32"/>
        <v>#REF!</v>
      </c>
      <c r="Q71" s="124" t="e">
        <f t="shared" ref="Q71" si="33">AVERAGE(L71:P71)</f>
        <v>#REF!</v>
      </c>
    </row>
    <row r="72" spans="1:17">
      <c r="A72" s="291"/>
      <c r="B72" s="294"/>
      <c r="C72" s="297" t="s">
        <v>76</v>
      </c>
      <c r="D72" s="245" t="s">
        <v>131</v>
      </c>
      <c r="E72" s="280">
        <v>13645674</v>
      </c>
      <c r="F72" s="280">
        <v>14314424</v>
      </c>
      <c r="G72" s="280">
        <v>19381922</v>
      </c>
      <c r="H72" s="280">
        <v>23093529</v>
      </c>
      <c r="I72" s="280">
        <v>16660682</v>
      </c>
      <c r="J72" s="280">
        <v>18998991</v>
      </c>
      <c r="K72" s="280">
        <v>23772375</v>
      </c>
      <c r="L72" s="280">
        <v>24138845</v>
      </c>
      <c r="M72" s="280">
        <v>24648508</v>
      </c>
      <c r="N72" s="11" t="e">
        <f>N12*#REF!</f>
        <v>#REF!</v>
      </c>
      <c r="O72" s="11" t="e">
        <f>O12*#REF!</f>
        <v>#REF!</v>
      </c>
      <c r="P72" s="11" t="e">
        <f>P12*#REF!</f>
        <v>#REF!</v>
      </c>
      <c r="Q72" s="21" t="e">
        <f t="shared" ref="Q72:Q76" si="34">SUM(L72:P72)</f>
        <v>#REF!</v>
      </c>
    </row>
    <row r="73" spans="1:17">
      <c r="A73" s="291"/>
      <c r="B73" s="294"/>
      <c r="C73" s="297"/>
      <c r="D73" s="245" t="s">
        <v>130</v>
      </c>
      <c r="E73" s="280">
        <v>75125289</v>
      </c>
      <c r="F73" s="280">
        <v>111490021</v>
      </c>
      <c r="G73" s="280">
        <v>245938547</v>
      </c>
      <c r="H73" s="280">
        <v>236147482</v>
      </c>
      <c r="I73" s="280">
        <v>205966074</v>
      </c>
      <c r="J73" s="280">
        <v>215069987</v>
      </c>
      <c r="K73" s="280">
        <v>242519963</v>
      </c>
      <c r="L73" s="280">
        <v>285574103</v>
      </c>
      <c r="M73" s="280">
        <v>259778569</v>
      </c>
      <c r="N73" s="11" t="e">
        <f>N13*#REF!</f>
        <v>#REF!</v>
      </c>
      <c r="O73" s="11" t="e">
        <f>O13*#REF!</f>
        <v>#REF!</v>
      </c>
      <c r="P73" s="11" t="e">
        <f>P13*#REF!</f>
        <v>#REF!</v>
      </c>
      <c r="Q73" s="12" t="e">
        <f t="shared" si="34"/>
        <v>#REF!</v>
      </c>
    </row>
    <row r="74" spans="1:17">
      <c r="A74" s="291"/>
      <c r="B74" s="294"/>
      <c r="C74" s="297"/>
      <c r="D74" s="245" t="s">
        <v>129</v>
      </c>
      <c r="E74" s="280">
        <v>28159391</v>
      </c>
      <c r="F74" s="280">
        <v>41685604</v>
      </c>
      <c r="G74" s="280">
        <v>71574628</v>
      </c>
      <c r="H74" s="280">
        <v>54608937</v>
      </c>
      <c r="I74" s="280">
        <v>49089295</v>
      </c>
      <c r="J74" s="280">
        <v>52119260</v>
      </c>
      <c r="K74" s="280">
        <v>57349702</v>
      </c>
      <c r="L74" s="280">
        <v>57428914</v>
      </c>
      <c r="M74" s="280">
        <v>67725871</v>
      </c>
      <c r="N74" s="11" t="e">
        <f>N14*#REF!</f>
        <v>#REF!</v>
      </c>
      <c r="O74" s="11" t="e">
        <f>O14*#REF!</f>
        <v>#REF!</v>
      </c>
      <c r="P74" s="11" t="e">
        <f>P14*#REF!</f>
        <v>#REF!</v>
      </c>
      <c r="Q74" s="12" t="e">
        <f t="shared" si="34"/>
        <v>#REF!</v>
      </c>
    </row>
    <row r="75" spans="1:17">
      <c r="A75" s="291"/>
      <c r="B75" s="294"/>
      <c r="C75" s="297"/>
      <c r="D75" s="245" t="s">
        <v>9</v>
      </c>
      <c r="E75" s="280">
        <v>62221409</v>
      </c>
      <c r="F75" s="280">
        <v>110334727</v>
      </c>
      <c r="G75" s="280">
        <v>249698254</v>
      </c>
      <c r="H75" s="280">
        <v>273327868</v>
      </c>
      <c r="I75" s="280">
        <v>253348370</v>
      </c>
      <c r="J75" s="280">
        <v>356584770</v>
      </c>
      <c r="K75" s="280">
        <v>415851603</v>
      </c>
      <c r="L75" s="280">
        <v>562330791</v>
      </c>
      <c r="M75" s="280">
        <v>482295939</v>
      </c>
      <c r="N75" s="11" t="e">
        <f>N15*#REF!</f>
        <v>#REF!</v>
      </c>
      <c r="O75" s="11" t="e">
        <f>O15*#REF!</f>
        <v>#REF!</v>
      </c>
      <c r="P75" s="11" t="e">
        <f>P15*#REF!</f>
        <v>#REF!</v>
      </c>
      <c r="Q75" s="12" t="e">
        <f t="shared" si="34"/>
        <v>#REF!</v>
      </c>
    </row>
    <row r="76" spans="1:17">
      <c r="A76" s="291"/>
      <c r="B76" s="294"/>
      <c r="C76" s="297"/>
      <c r="D76" s="247" t="s">
        <v>10</v>
      </c>
      <c r="E76" s="280">
        <v>4431221</v>
      </c>
      <c r="F76" s="280">
        <v>6679928</v>
      </c>
      <c r="G76" s="280">
        <v>7000939</v>
      </c>
      <c r="H76" s="280">
        <v>6544064</v>
      </c>
      <c r="I76" s="280">
        <v>10700622</v>
      </c>
      <c r="J76" s="280">
        <v>17546695</v>
      </c>
      <c r="K76" s="280">
        <v>18870903</v>
      </c>
      <c r="L76" s="280">
        <v>24592014</v>
      </c>
      <c r="M76" s="280">
        <v>21701392</v>
      </c>
      <c r="N76" s="11" t="e">
        <f>N16*#REF!</f>
        <v>#REF!</v>
      </c>
      <c r="O76" s="11" t="e">
        <f>O16*#REF!</f>
        <v>#REF!</v>
      </c>
      <c r="P76" s="11" t="e">
        <f>P16*#REF!</f>
        <v>#REF!</v>
      </c>
      <c r="Q76" s="14" t="e">
        <f t="shared" si="34"/>
        <v>#REF!</v>
      </c>
    </row>
    <row r="77" spans="1:17" s="260" customFormat="1">
      <c r="A77" s="291"/>
      <c r="B77" s="294"/>
      <c r="C77" s="298"/>
      <c r="D77" s="263" t="s">
        <v>75</v>
      </c>
      <c r="E77" s="122">
        <f>SUM(E72:E76)</f>
        <v>183582984</v>
      </c>
      <c r="F77" s="264">
        <f t="shared" ref="F77:K77" si="35">SUM(F72:F76)</f>
        <v>284504704</v>
      </c>
      <c r="G77" s="264">
        <f t="shared" si="35"/>
        <v>593594290</v>
      </c>
      <c r="H77" s="264">
        <f t="shared" si="35"/>
        <v>593721880</v>
      </c>
      <c r="I77" s="264">
        <f t="shared" si="35"/>
        <v>535765043</v>
      </c>
      <c r="J77" s="264">
        <f t="shared" si="35"/>
        <v>660319703</v>
      </c>
      <c r="K77" s="264">
        <f t="shared" si="35"/>
        <v>758364546</v>
      </c>
      <c r="L77" s="122">
        <f>SUM(L72:L76)</f>
        <v>954064667</v>
      </c>
      <c r="M77" s="122">
        <f t="shared" ref="M77:P77" si="36">SUM(M72:M76)</f>
        <v>856150279</v>
      </c>
      <c r="N77" s="122" t="e">
        <f t="shared" si="36"/>
        <v>#REF!</v>
      </c>
      <c r="O77" s="122" t="e">
        <f t="shared" si="36"/>
        <v>#REF!</v>
      </c>
      <c r="P77" s="122" t="e">
        <f t="shared" si="36"/>
        <v>#REF!</v>
      </c>
      <c r="Q77" s="124" t="e">
        <f t="shared" ref="Q77:Q78" si="37">AVERAGE(L77:P77)</f>
        <v>#REF!</v>
      </c>
    </row>
    <row r="78" spans="1:17">
      <c r="A78" s="292"/>
      <c r="B78" s="295"/>
      <c r="C78" s="299" t="s">
        <v>75</v>
      </c>
      <c r="D78" s="299"/>
      <c r="E78" s="15">
        <f>E71+E77</f>
        <v>322434894</v>
      </c>
      <c r="F78" s="266">
        <f t="shared" ref="F78:K78" si="38">F71+F77</f>
        <v>366760869</v>
      </c>
      <c r="G78" s="266">
        <f t="shared" si="38"/>
        <v>764195292</v>
      </c>
      <c r="H78" s="266">
        <f t="shared" si="38"/>
        <v>766017473</v>
      </c>
      <c r="I78" s="266">
        <f t="shared" si="38"/>
        <v>672477675</v>
      </c>
      <c r="J78" s="266">
        <f t="shared" si="38"/>
        <v>802010648</v>
      </c>
      <c r="K78" s="266">
        <f t="shared" si="38"/>
        <v>913876223</v>
      </c>
      <c r="L78" s="15">
        <f>L71+L77</f>
        <v>1156182803</v>
      </c>
      <c r="M78" s="15">
        <f t="shared" ref="M78:P78" si="39">M71+M77</f>
        <v>1026692254</v>
      </c>
      <c r="N78" s="15" t="e">
        <f t="shared" si="39"/>
        <v>#REF!</v>
      </c>
      <c r="O78" s="15" t="e">
        <f t="shared" si="39"/>
        <v>#REF!</v>
      </c>
      <c r="P78" s="15" t="e">
        <f t="shared" si="39"/>
        <v>#REF!</v>
      </c>
      <c r="Q78" s="16" t="e">
        <f t="shared" si="37"/>
        <v>#REF!</v>
      </c>
    </row>
    <row r="79" spans="1:17" s="258" customFormat="1">
      <c r="A79" s="267"/>
      <c r="B79" s="268"/>
      <c r="C79" s="269"/>
      <c r="D79" s="269"/>
      <c r="E79" s="129"/>
      <c r="F79" s="269"/>
      <c r="G79" s="269"/>
      <c r="H79" s="269"/>
      <c r="I79" s="269"/>
      <c r="J79" s="269"/>
      <c r="K79" s="269"/>
      <c r="L79" s="129"/>
      <c r="M79" s="129"/>
      <c r="N79" s="129"/>
      <c r="O79" s="129"/>
      <c r="P79" s="129"/>
      <c r="Q79" s="129"/>
    </row>
    <row r="80" spans="1:17">
      <c r="A80" s="236" t="s">
        <v>26</v>
      </c>
      <c r="B80" s="237" t="s">
        <v>71</v>
      </c>
      <c r="D80" s="260" t="s">
        <v>77</v>
      </c>
    </row>
    <row r="81" spans="1:19">
      <c r="A81" s="281" t="s">
        <v>73</v>
      </c>
      <c r="B81" s="282"/>
      <c r="C81" s="283"/>
      <c r="D81" s="281" t="s">
        <v>72</v>
      </c>
      <c r="E81" s="287" t="s">
        <v>132</v>
      </c>
      <c r="F81" s="288"/>
      <c r="G81" s="288"/>
      <c r="H81" s="288"/>
      <c r="I81" s="288"/>
      <c r="J81" s="288"/>
      <c r="K81" s="288"/>
      <c r="L81" s="288"/>
      <c r="M81" s="288"/>
      <c r="N81" s="288"/>
      <c r="O81" s="288"/>
      <c r="P81" s="288"/>
      <c r="Q81" s="289"/>
      <c r="R81" s="237" t="s">
        <v>142</v>
      </c>
      <c r="S81" s="237" t="s">
        <v>145</v>
      </c>
    </row>
    <row r="82" spans="1:19">
      <c r="A82" s="284"/>
      <c r="B82" s="285"/>
      <c r="C82" s="286"/>
      <c r="D82" s="284"/>
      <c r="E82" s="238" t="s">
        <v>24</v>
      </c>
      <c r="F82" s="239" t="s">
        <v>16</v>
      </c>
      <c r="G82" s="239" t="s">
        <v>17</v>
      </c>
      <c r="H82" s="239" t="s">
        <v>18</v>
      </c>
      <c r="I82" s="239" t="s">
        <v>19</v>
      </c>
      <c r="J82" s="239" t="s">
        <v>20</v>
      </c>
      <c r="K82" s="239" t="s">
        <v>21</v>
      </c>
      <c r="L82" s="239" t="s">
        <v>11</v>
      </c>
      <c r="M82" s="261" t="s">
        <v>12</v>
      </c>
      <c r="N82" s="261" t="s">
        <v>13</v>
      </c>
      <c r="O82" s="261" t="s">
        <v>14</v>
      </c>
      <c r="P82" s="261" t="s">
        <v>15</v>
      </c>
      <c r="Q82" s="277" t="s">
        <v>75</v>
      </c>
    </row>
    <row r="83" spans="1:19">
      <c r="A83" s="290" t="s">
        <v>22</v>
      </c>
      <c r="B83" s="293" t="s">
        <v>79</v>
      </c>
      <c r="C83" s="296" t="s">
        <v>74</v>
      </c>
      <c r="D83" s="242" t="s">
        <v>0</v>
      </c>
      <c r="E83" s="8" t="e">
        <f>E4*#REF!</f>
        <v>#REF!</v>
      </c>
      <c r="F83" s="8" t="e">
        <f>F4*#REF!</f>
        <v>#REF!</v>
      </c>
      <c r="G83" s="8" t="e">
        <f>G4*#REF!</f>
        <v>#REF!</v>
      </c>
      <c r="H83" s="8" t="e">
        <f>H4*#REF!</f>
        <v>#REF!</v>
      </c>
      <c r="I83" s="8" t="e">
        <f>I4*#REF!</f>
        <v>#REF!</v>
      </c>
      <c r="J83" s="8" t="e">
        <f>J4*#REF!</f>
        <v>#REF!</v>
      </c>
      <c r="K83" s="8" t="e">
        <f>K4*#REF!</f>
        <v>#REF!</v>
      </c>
      <c r="L83" s="8" t="e">
        <f>L4*#REF!</f>
        <v>#REF!</v>
      </c>
      <c r="M83" s="8" t="e">
        <f>M4*#REF!</f>
        <v>#REF!</v>
      </c>
      <c r="N83" s="8" t="e">
        <f>N4*#REF!</f>
        <v>#REF!</v>
      </c>
      <c r="O83" s="8" t="e">
        <f>O4*#REF!</f>
        <v>#REF!</v>
      </c>
      <c r="P83" s="8" t="e">
        <f>P4*#REF!</f>
        <v>#REF!</v>
      </c>
      <c r="Q83" s="20" t="e">
        <f t="shared" ref="Q83" si="40">SUM(L83:P83)</f>
        <v>#REF!</v>
      </c>
    </row>
    <row r="84" spans="1:19">
      <c r="A84" s="291"/>
      <c r="B84" s="294"/>
      <c r="C84" s="297"/>
      <c r="D84" s="245" t="s">
        <v>1</v>
      </c>
      <c r="E84" s="280">
        <v>11832820</v>
      </c>
      <c r="F84" s="280">
        <v>11832820</v>
      </c>
      <c r="G84" s="280">
        <v>11870808</v>
      </c>
      <c r="H84" s="280">
        <v>11870808</v>
      </c>
      <c r="I84" s="280">
        <v>11870808</v>
      </c>
      <c r="J84" s="280">
        <v>11870808</v>
      </c>
      <c r="K84" s="280">
        <v>12630808</v>
      </c>
      <c r="L84" s="280">
        <v>12630808</v>
      </c>
      <c r="M84" s="280">
        <v>12630808</v>
      </c>
      <c r="N84" s="9" t="e">
        <f>N5*#REF!</f>
        <v>#REF!</v>
      </c>
      <c r="O84" s="9" t="e">
        <f>O5*#REF!</f>
        <v>#REF!</v>
      </c>
      <c r="P84" s="9" t="e">
        <f>P5*#REF!</f>
        <v>#REF!</v>
      </c>
      <c r="Q84" s="12" t="e">
        <f>SUM(L84:P84)</f>
        <v>#REF!</v>
      </c>
    </row>
    <row r="85" spans="1:19">
      <c r="A85" s="291"/>
      <c r="B85" s="294"/>
      <c r="C85" s="297"/>
      <c r="D85" s="245" t="s">
        <v>2</v>
      </c>
      <c r="E85" s="280">
        <v>56402989</v>
      </c>
      <c r="F85" s="280">
        <v>56402989</v>
      </c>
      <c r="G85" s="280">
        <v>55340811</v>
      </c>
      <c r="H85" s="280">
        <v>53312316</v>
      </c>
      <c r="I85" s="280">
        <v>61113816</v>
      </c>
      <c r="J85" s="280">
        <v>61113816</v>
      </c>
      <c r="K85" s="280">
        <v>59473966</v>
      </c>
      <c r="L85" s="280">
        <v>59473966</v>
      </c>
      <c r="M85" s="280">
        <v>59473966</v>
      </c>
      <c r="N85" s="9" t="e">
        <f>N6*#REF!</f>
        <v>#REF!</v>
      </c>
      <c r="O85" s="9" t="e">
        <f>O6*#REF!</f>
        <v>#REF!</v>
      </c>
      <c r="P85" s="9" t="e">
        <f>P6*#REF!</f>
        <v>#REF!</v>
      </c>
      <c r="Q85" s="12" t="e">
        <f t="shared" ref="Q85:Q89" si="41">SUM(L85:P85)</f>
        <v>#REF!</v>
      </c>
    </row>
    <row r="86" spans="1:19">
      <c r="A86" s="291"/>
      <c r="B86" s="294"/>
      <c r="C86" s="297"/>
      <c r="D86" s="245" t="s">
        <v>128</v>
      </c>
      <c r="E86" s="280"/>
      <c r="F86" s="280"/>
      <c r="G86" s="280">
        <v>18666255</v>
      </c>
      <c r="H86" s="280">
        <v>18666255</v>
      </c>
      <c r="I86" s="280">
        <v>20388255</v>
      </c>
      <c r="J86" s="280">
        <v>18666255</v>
      </c>
      <c r="K86" s="280">
        <v>17190255</v>
      </c>
      <c r="L86" s="280">
        <v>16209255</v>
      </c>
      <c r="M86" s="280">
        <v>16209255</v>
      </c>
      <c r="N86" s="9" t="e">
        <f>N7*#REF!</f>
        <v>#REF!</v>
      </c>
      <c r="O86" s="9" t="e">
        <f>O7*#REF!</f>
        <v>#REF!</v>
      </c>
      <c r="P86" s="9" t="e">
        <f>P7*#REF!</f>
        <v>#REF!</v>
      </c>
      <c r="Q86" s="12"/>
    </row>
    <row r="87" spans="1:19">
      <c r="A87" s="291"/>
      <c r="B87" s="294"/>
      <c r="C87" s="297"/>
      <c r="D87" s="245" t="s">
        <v>3</v>
      </c>
      <c r="E87" s="280">
        <v>28452061</v>
      </c>
      <c r="F87" s="280">
        <v>28452061</v>
      </c>
      <c r="G87" s="280">
        <v>15773961</v>
      </c>
      <c r="H87" s="280">
        <v>18083961</v>
      </c>
      <c r="I87" s="280">
        <v>26003961</v>
      </c>
      <c r="J87" s="280">
        <v>24743961</v>
      </c>
      <c r="K87" s="280">
        <v>24698961</v>
      </c>
      <c r="L87" s="280">
        <v>29371461</v>
      </c>
      <c r="M87" s="280">
        <v>29371461</v>
      </c>
      <c r="N87" s="9" t="e">
        <f>N8*#REF!</f>
        <v>#REF!</v>
      </c>
      <c r="O87" s="9" t="e">
        <f>O8*#REF!</f>
        <v>#REF!</v>
      </c>
      <c r="P87" s="9" t="e">
        <f>P8*#REF!</f>
        <v>#REF!</v>
      </c>
      <c r="Q87" s="12" t="e">
        <f t="shared" si="41"/>
        <v>#REF!</v>
      </c>
    </row>
    <row r="88" spans="1:19">
      <c r="A88" s="291"/>
      <c r="B88" s="294"/>
      <c r="C88" s="297"/>
      <c r="D88" s="245" t="s">
        <v>4</v>
      </c>
      <c r="E88" s="9" t="e">
        <f>E9*#REF!</f>
        <v>#REF!</v>
      </c>
      <c r="F88" s="9" t="e">
        <f>F9*#REF!</f>
        <v>#REF!</v>
      </c>
      <c r="G88" s="9" t="e">
        <f>G9*#REF!</f>
        <v>#REF!</v>
      </c>
      <c r="H88" s="9" t="e">
        <f>H9*#REF!</f>
        <v>#REF!</v>
      </c>
      <c r="I88" s="9" t="e">
        <f>I9*#REF!</f>
        <v>#REF!</v>
      </c>
      <c r="J88" s="9" t="e">
        <f>J9*#REF!</f>
        <v>#REF!</v>
      </c>
      <c r="K88" s="9" t="e">
        <f>K9*#REF!</f>
        <v>#REF!</v>
      </c>
      <c r="L88" s="9" t="e">
        <f>L9*#REF!</f>
        <v>#REF!</v>
      </c>
      <c r="M88" s="9" t="e">
        <f>M9*#REF!</f>
        <v>#REF!</v>
      </c>
      <c r="N88" s="9" t="e">
        <f>N9*#REF!</f>
        <v>#REF!</v>
      </c>
      <c r="O88" s="9" t="e">
        <f>O9*#REF!</f>
        <v>#REF!</v>
      </c>
      <c r="P88" s="9" t="e">
        <f>P9*#REF!</f>
        <v>#REF!</v>
      </c>
      <c r="Q88" s="12" t="e">
        <f t="shared" si="41"/>
        <v>#REF!</v>
      </c>
    </row>
    <row r="89" spans="1:19">
      <c r="A89" s="291"/>
      <c r="B89" s="294"/>
      <c r="C89" s="297"/>
      <c r="D89" s="247" t="s">
        <v>5</v>
      </c>
      <c r="E89" s="235" t="e">
        <f>E10*#REF!</f>
        <v>#REF!</v>
      </c>
      <c r="F89" s="235" t="e">
        <f>F10*#REF!</f>
        <v>#REF!</v>
      </c>
      <c r="G89" s="235" t="e">
        <f>G10*#REF!</f>
        <v>#REF!</v>
      </c>
      <c r="H89" s="235" t="e">
        <f>H10*#REF!</f>
        <v>#REF!</v>
      </c>
      <c r="I89" s="235" t="e">
        <f>I10*#REF!</f>
        <v>#REF!</v>
      </c>
      <c r="J89" s="235" t="e">
        <f>J10*#REF!</f>
        <v>#REF!</v>
      </c>
      <c r="K89" s="235" t="e">
        <f>K10*#REF!</f>
        <v>#REF!</v>
      </c>
      <c r="L89" s="235" t="e">
        <f>L10*#REF!</f>
        <v>#REF!</v>
      </c>
      <c r="M89" s="235" t="e">
        <f>M10*#REF!</f>
        <v>#REF!</v>
      </c>
      <c r="N89" s="235" t="e">
        <f>N10*#REF!</f>
        <v>#REF!</v>
      </c>
      <c r="O89" s="235" t="e">
        <f>O10*#REF!</f>
        <v>#REF!</v>
      </c>
      <c r="P89" s="235" t="e">
        <f>P10*#REF!</f>
        <v>#REF!</v>
      </c>
      <c r="Q89" s="12" t="e">
        <f t="shared" si="41"/>
        <v>#REF!</v>
      </c>
    </row>
    <row r="90" spans="1:19" s="260" customFormat="1">
      <c r="A90" s="291"/>
      <c r="B90" s="294"/>
      <c r="C90" s="297"/>
      <c r="D90" s="263" t="s">
        <v>75</v>
      </c>
      <c r="E90" s="122" t="e">
        <f>SUM(E83:E89)</f>
        <v>#REF!</v>
      </c>
      <c r="F90" s="270" t="e">
        <f t="shared" ref="F90:P90" si="42">SUM(F83:F89)</f>
        <v>#REF!</v>
      </c>
      <c r="G90" s="270" t="e">
        <f t="shared" si="42"/>
        <v>#REF!</v>
      </c>
      <c r="H90" s="270" t="e">
        <f t="shared" si="42"/>
        <v>#REF!</v>
      </c>
      <c r="I90" s="270" t="e">
        <f t="shared" si="42"/>
        <v>#REF!</v>
      </c>
      <c r="J90" s="270" t="e">
        <f t="shared" si="42"/>
        <v>#REF!</v>
      </c>
      <c r="K90" s="270" t="e">
        <f t="shared" si="42"/>
        <v>#REF!</v>
      </c>
      <c r="L90" s="270" t="e">
        <f t="shared" si="42"/>
        <v>#REF!</v>
      </c>
      <c r="M90" s="270" t="e">
        <f t="shared" si="42"/>
        <v>#REF!</v>
      </c>
      <c r="N90" s="270" t="e">
        <f t="shared" si="42"/>
        <v>#REF!</v>
      </c>
      <c r="O90" s="270" t="e">
        <f t="shared" si="42"/>
        <v>#REF!</v>
      </c>
      <c r="P90" s="270" t="e">
        <f t="shared" si="42"/>
        <v>#REF!</v>
      </c>
      <c r="Q90" s="124" t="e">
        <f t="shared" ref="Q90" si="43">AVERAGE(L90:P90)</f>
        <v>#REF!</v>
      </c>
    </row>
    <row r="91" spans="1:19">
      <c r="A91" s="291"/>
      <c r="B91" s="294"/>
      <c r="C91" s="297" t="s">
        <v>76</v>
      </c>
      <c r="D91" s="245" t="s">
        <v>131</v>
      </c>
      <c r="E91" s="280">
        <v>3654000</v>
      </c>
      <c r="F91" s="280">
        <v>3654000</v>
      </c>
      <c r="G91" s="280">
        <v>4023600</v>
      </c>
      <c r="H91" s="280">
        <v>4023600</v>
      </c>
      <c r="I91" s="280">
        <v>4023600</v>
      </c>
      <c r="J91" s="280">
        <v>4023600</v>
      </c>
      <c r="K91" s="280">
        <v>5546100</v>
      </c>
      <c r="L91" s="280">
        <v>5546100</v>
      </c>
      <c r="M91" s="280">
        <v>5546100</v>
      </c>
      <c r="N91" s="11" t="e">
        <f>N12*#REF!</f>
        <v>#REF!</v>
      </c>
      <c r="O91" s="11" t="e">
        <f>O12*#REF!</f>
        <v>#REF!</v>
      </c>
      <c r="P91" s="11" t="e">
        <f>P12*#REF!</f>
        <v>#REF!</v>
      </c>
      <c r="Q91" s="21" t="e">
        <f t="shared" ref="Q91:Q95" si="44">SUM(L91:P91)</f>
        <v>#REF!</v>
      </c>
    </row>
    <row r="92" spans="1:19">
      <c r="A92" s="291"/>
      <c r="B92" s="294"/>
      <c r="C92" s="297"/>
      <c r="D92" s="245" t="s">
        <v>130</v>
      </c>
      <c r="E92" s="280">
        <v>13730325</v>
      </c>
      <c r="F92" s="280">
        <v>13730325</v>
      </c>
      <c r="G92" s="280">
        <v>14546700</v>
      </c>
      <c r="H92" s="280">
        <v>14546700</v>
      </c>
      <c r="I92" s="280">
        <v>14546700</v>
      </c>
      <c r="J92" s="280">
        <v>14546700</v>
      </c>
      <c r="K92" s="280">
        <v>14687400</v>
      </c>
      <c r="L92" s="280">
        <v>13641600</v>
      </c>
      <c r="M92" s="280">
        <v>13641600</v>
      </c>
      <c r="N92" s="11" t="e">
        <f>N13*#REF!</f>
        <v>#REF!</v>
      </c>
      <c r="O92" s="11" t="e">
        <f>O13*#REF!</f>
        <v>#REF!</v>
      </c>
      <c r="P92" s="11" t="e">
        <f>P13*#REF!</f>
        <v>#REF!</v>
      </c>
      <c r="Q92" s="12" t="e">
        <f t="shared" si="44"/>
        <v>#REF!</v>
      </c>
    </row>
    <row r="93" spans="1:19">
      <c r="A93" s="291"/>
      <c r="B93" s="294"/>
      <c r="C93" s="297"/>
      <c r="D93" s="245" t="s">
        <v>129</v>
      </c>
      <c r="E93" s="280">
        <v>36940650</v>
      </c>
      <c r="F93" s="280">
        <v>34302150</v>
      </c>
      <c r="G93" s="280">
        <v>39403350</v>
      </c>
      <c r="H93" s="280">
        <v>42799050</v>
      </c>
      <c r="I93" s="280">
        <v>43807050</v>
      </c>
      <c r="J93" s="280">
        <v>44575050</v>
      </c>
      <c r="K93" s="280">
        <v>43372350</v>
      </c>
      <c r="L93" s="280">
        <v>42666750</v>
      </c>
      <c r="M93" s="280">
        <v>44726850</v>
      </c>
      <c r="N93" s="11" t="e">
        <f>N14*#REF!</f>
        <v>#REF!</v>
      </c>
      <c r="O93" s="11" t="e">
        <f>O14*#REF!</f>
        <v>#REF!</v>
      </c>
      <c r="P93" s="11" t="e">
        <f>P14*#REF!</f>
        <v>#REF!</v>
      </c>
      <c r="Q93" s="12" t="e">
        <f t="shared" si="44"/>
        <v>#REF!</v>
      </c>
    </row>
    <row r="94" spans="1:19">
      <c r="A94" s="291"/>
      <c r="B94" s="294"/>
      <c r="C94" s="297"/>
      <c r="D94" s="245" t="s">
        <v>9</v>
      </c>
      <c r="E94" s="280">
        <v>43331100</v>
      </c>
      <c r="F94" s="280">
        <v>41103000</v>
      </c>
      <c r="G94" s="280">
        <v>56218050</v>
      </c>
      <c r="H94" s="280">
        <v>68389650</v>
      </c>
      <c r="I94" s="280">
        <v>89734050</v>
      </c>
      <c r="J94" s="280">
        <v>107124150</v>
      </c>
      <c r="K94" s="280">
        <v>103069050</v>
      </c>
      <c r="L94" s="280">
        <v>110171250</v>
      </c>
      <c r="M94" s="280">
        <v>111931050</v>
      </c>
      <c r="N94" s="11" t="e">
        <f>N15*#REF!</f>
        <v>#REF!</v>
      </c>
      <c r="O94" s="11" t="e">
        <f>O15*#REF!</f>
        <v>#REF!</v>
      </c>
      <c r="P94" s="11" t="e">
        <f>P15*#REF!</f>
        <v>#REF!</v>
      </c>
      <c r="Q94" s="12" t="e">
        <f t="shared" si="44"/>
        <v>#REF!</v>
      </c>
    </row>
    <row r="95" spans="1:19">
      <c r="A95" s="291"/>
      <c r="B95" s="294"/>
      <c r="C95" s="297"/>
      <c r="D95" s="247" t="s">
        <v>10</v>
      </c>
      <c r="E95" s="280">
        <v>2426550</v>
      </c>
      <c r="F95" s="280">
        <v>2426550</v>
      </c>
      <c r="G95" s="280">
        <v>1026900</v>
      </c>
      <c r="H95" s="280">
        <v>5547150</v>
      </c>
      <c r="I95" s="280">
        <v>6114750</v>
      </c>
      <c r="J95" s="280">
        <v>8084550</v>
      </c>
      <c r="K95" s="280">
        <v>7587900</v>
      </c>
      <c r="L95" s="280">
        <v>9006900</v>
      </c>
      <c r="M95" s="280">
        <v>8614800</v>
      </c>
      <c r="N95" s="11" t="e">
        <f>N16*#REF!</f>
        <v>#REF!</v>
      </c>
      <c r="O95" s="11" t="e">
        <f>O16*#REF!</f>
        <v>#REF!</v>
      </c>
      <c r="P95" s="11" t="e">
        <f>P16*#REF!</f>
        <v>#REF!</v>
      </c>
      <c r="Q95" s="14" t="e">
        <f t="shared" si="44"/>
        <v>#REF!</v>
      </c>
    </row>
    <row r="96" spans="1:19" s="260" customFormat="1">
      <c r="A96" s="291"/>
      <c r="B96" s="294"/>
      <c r="C96" s="298"/>
      <c r="D96" s="263" t="s">
        <v>75</v>
      </c>
      <c r="E96" s="122">
        <f>SUM(E91:E95)</f>
        <v>100082625</v>
      </c>
      <c r="F96" s="264">
        <f t="shared" ref="F96:K96" si="45">SUM(F91:F95)</f>
        <v>95216025</v>
      </c>
      <c r="G96" s="264">
        <f t="shared" si="45"/>
        <v>115218600</v>
      </c>
      <c r="H96" s="264">
        <f t="shared" si="45"/>
        <v>135306150</v>
      </c>
      <c r="I96" s="264">
        <f t="shared" si="45"/>
        <v>158226150</v>
      </c>
      <c r="J96" s="264">
        <f t="shared" si="45"/>
        <v>178354050</v>
      </c>
      <c r="K96" s="264">
        <f t="shared" si="45"/>
        <v>174262800</v>
      </c>
      <c r="L96" s="122">
        <f>SUM(L91:L95)</f>
        <v>181032600</v>
      </c>
      <c r="M96" s="122">
        <f t="shared" ref="M96:P96" si="46">SUM(M91:M95)</f>
        <v>184460400</v>
      </c>
      <c r="N96" s="122" t="e">
        <f t="shared" si="46"/>
        <v>#REF!</v>
      </c>
      <c r="O96" s="122" t="e">
        <f t="shared" si="46"/>
        <v>#REF!</v>
      </c>
      <c r="P96" s="122" t="e">
        <f t="shared" si="46"/>
        <v>#REF!</v>
      </c>
      <c r="Q96" s="124" t="e">
        <f t="shared" ref="Q96:Q97" si="47">AVERAGE(L96:P96)</f>
        <v>#REF!</v>
      </c>
    </row>
    <row r="97" spans="1:18">
      <c r="A97" s="292"/>
      <c r="B97" s="295"/>
      <c r="C97" s="299" t="s">
        <v>75</v>
      </c>
      <c r="D97" s="299"/>
      <c r="E97" s="15" t="e">
        <f>E90+E96</f>
        <v>#REF!</v>
      </c>
      <c r="F97" s="266" t="e">
        <f t="shared" ref="F97:K97" si="48">F90+F96</f>
        <v>#REF!</v>
      </c>
      <c r="G97" s="266" t="e">
        <f t="shared" si="48"/>
        <v>#REF!</v>
      </c>
      <c r="H97" s="266" t="e">
        <f t="shared" si="48"/>
        <v>#REF!</v>
      </c>
      <c r="I97" s="266" t="e">
        <f t="shared" si="48"/>
        <v>#REF!</v>
      </c>
      <c r="J97" s="266" t="e">
        <f t="shared" si="48"/>
        <v>#REF!</v>
      </c>
      <c r="K97" s="266" t="e">
        <f t="shared" si="48"/>
        <v>#REF!</v>
      </c>
      <c r="L97" s="15" t="e">
        <f>L90+L96</f>
        <v>#REF!</v>
      </c>
      <c r="M97" s="15" t="e">
        <f t="shared" ref="M97:P97" si="49">M90+M96</f>
        <v>#REF!</v>
      </c>
      <c r="N97" s="15" t="e">
        <f t="shared" si="49"/>
        <v>#REF!</v>
      </c>
      <c r="O97" s="15" t="e">
        <f t="shared" si="49"/>
        <v>#REF!</v>
      </c>
      <c r="P97" s="15" t="e">
        <f t="shared" si="49"/>
        <v>#REF!</v>
      </c>
      <c r="Q97" s="16" t="e">
        <f t="shared" si="47"/>
        <v>#REF!</v>
      </c>
    </row>
    <row r="98" spans="1:18" s="258" customFormat="1">
      <c r="A98" s="267"/>
      <c r="B98" s="268"/>
      <c r="C98" s="269"/>
      <c r="D98" s="269"/>
      <c r="E98" s="129"/>
      <c r="F98" s="269"/>
      <c r="G98" s="269"/>
      <c r="H98" s="269"/>
      <c r="I98" s="269"/>
      <c r="J98" s="269"/>
      <c r="K98" s="269"/>
      <c r="L98" s="129"/>
      <c r="M98" s="129"/>
      <c r="N98" s="129"/>
      <c r="O98" s="129"/>
      <c r="P98" s="129"/>
      <c r="Q98" s="129"/>
    </row>
    <row r="99" spans="1:18" s="258" customFormat="1">
      <c r="A99" s="267"/>
      <c r="B99" s="268"/>
      <c r="C99" s="269"/>
      <c r="D99" s="269"/>
      <c r="E99" s="129"/>
      <c r="F99" s="269"/>
      <c r="G99" s="269"/>
      <c r="H99" s="269"/>
      <c r="I99" s="269"/>
      <c r="J99" s="269"/>
      <c r="K99" s="269"/>
      <c r="L99" s="129"/>
      <c r="M99" s="129"/>
      <c r="N99" s="129"/>
      <c r="O99" s="129"/>
      <c r="P99" s="129"/>
      <c r="Q99" s="129"/>
    </row>
    <row r="100" spans="1:18">
      <c r="A100" s="236" t="s">
        <v>133</v>
      </c>
      <c r="B100" s="237" t="s">
        <v>71</v>
      </c>
      <c r="D100" s="260" t="s">
        <v>180</v>
      </c>
    </row>
    <row r="101" spans="1:18">
      <c r="A101" s="281" t="s">
        <v>73</v>
      </c>
      <c r="B101" s="282"/>
      <c r="C101" s="283"/>
      <c r="D101" s="281" t="s">
        <v>72</v>
      </c>
      <c r="E101" s="287" t="s">
        <v>132</v>
      </c>
      <c r="F101" s="288"/>
      <c r="G101" s="288"/>
      <c r="H101" s="288"/>
      <c r="I101" s="288"/>
      <c r="J101" s="288"/>
      <c r="K101" s="288"/>
      <c r="L101" s="288"/>
      <c r="M101" s="288"/>
      <c r="N101" s="288"/>
      <c r="O101" s="288"/>
      <c r="P101" s="288"/>
      <c r="Q101" s="289"/>
      <c r="R101" s="237" t="s">
        <v>144</v>
      </c>
    </row>
    <row r="102" spans="1:18">
      <c r="A102" s="284"/>
      <c r="B102" s="285"/>
      <c r="C102" s="286"/>
      <c r="D102" s="284"/>
      <c r="E102" s="238" t="s">
        <v>24</v>
      </c>
      <c r="F102" s="239" t="s">
        <v>16</v>
      </c>
      <c r="G102" s="239" t="s">
        <v>17</v>
      </c>
      <c r="H102" s="239" t="s">
        <v>18</v>
      </c>
      <c r="I102" s="239" t="s">
        <v>19</v>
      </c>
      <c r="J102" s="239" t="s">
        <v>20</v>
      </c>
      <c r="K102" s="239" t="s">
        <v>21</v>
      </c>
      <c r="L102" s="239" t="s">
        <v>11</v>
      </c>
      <c r="M102" s="261" t="s">
        <v>12</v>
      </c>
      <c r="N102" s="261" t="s">
        <v>13</v>
      </c>
      <c r="O102" s="261" t="s">
        <v>14</v>
      </c>
      <c r="P102" s="261" t="s">
        <v>15</v>
      </c>
      <c r="Q102" s="277" t="s">
        <v>75</v>
      </c>
    </row>
    <row r="103" spans="1:18">
      <c r="A103" s="290" t="s">
        <v>22</v>
      </c>
      <c r="B103" s="293" t="s">
        <v>79</v>
      </c>
      <c r="C103" s="296" t="s">
        <v>74</v>
      </c>
      <c r="D103" s="242" t="s">
        <v>0</v>
      </c>
      <c r="E103" s="9"/>
      <c r="F103" s="244"/>
      <c r="G103" s="244"/>
      <c r="H103" s="244"/>
      <c r="I103" s="244"/>
      <c r="J103" s="244"/>
      <c r="K103" s="244"/>
      <c r="L103" s="8"/>
      <c r="M103" s="246"/>
      <c r="N103" s="8"/>
      <c r="O103" s="8"/>
      <c r="P103" s="246"/>
      <c r="Q103" s="20">
        <f t="shared" ref="Q103" si="50">SUM(L103:P103)</f>
        <v>0</v>
      </c>
    </row>
    <row r="104" spans="1:18">
      <c r="A104" s="291"/>
      <c r="B104" s="294"/>
      <c r="C104" s="297"/>
      <c r="D104" s="245" t="s">
        <v>1</v>
      </c>
      <c r="E104" s="280">
        <v>0</v>
      </c>
      <c r="F104" s="280">
        <v>0</v>
      </c>
      <c r="G104" s="280">
        <v>0</v>
      </c>
      <c r="H104" s="280">
        <v>2000000</v>
      </c>
      <c r="I104" s="280">
        <v>0</v>
      </c>
      <c r="J104" s="280">
        <v>0</v>
      </c>
      <c r="K104" s="280">
        <v>0</v>
      </c>
      <c r="L104" s="280">
        <v>0</v>
      </c>
      <c r="M104" s="280">
        <v>0</v>
      </c>
      <c r="N104" s="9"/>
      <c r="O104" s="9"/>
      <c r="P104" s="246"/>
      <c r="Q104" s="12">
        <f>SUM(L104:P104)</f>
        <v>0</v>
      </c>
    </row>
    <row r="105" spans="1:18">
      <c r="A105" s="291"/>
      <c r="B105" s="294"/>
      <c r="C105" s="297"/>
      <c r="D105" s="245" t="s">
        <v>2</v>
      </c>
      <c r="E105" s="280">
        <v>0</v>
      </c>
      <c r="F105" s="280">
        <v>0</v>
      </c>
      <c r="G105" s="280">
        <v>1193769</v>
      </c>
      <c r="H105" s="280">
        <v>11500000</v>
      </c>
      <c r="I105" s="280">
        <v>0</v>
      </c>
      <c r="J105" s="280">
        <v>0</v>
      </c>
      <c r="K105" s="280">
        <v>0</v>
      </c>
      <c r="L105" s="280">
        <v>2260000</v>
      </c>
      <c r="M105" s="280">
        <v>0</v>
      </c>
      <c r="N105" s="9"/>
      <c r="O105" s="9"/>
      <c r="P105" s="246"/>
      <c r="Q105" s="12">
        <f t="shared" ref="Q105:Q109" si="51">SUM(L105:P105)</f>
        <v>2260000</v>
      </c>
    </row>
    <row r="106" spans="1:18">
      <c r="A106" s="291"/>
      <c r="B106" s="294"/>
      <c r="C106" s="297"/>
      <c r="D106" s="245" t="s">
        <v>128</v>
      </c>
      <c r="E106" s="280"/>
      <c r="F106" s="280"/>
      <c r="G106" s="280">
        <v>0</v>
      </c>
      <c r="H106" s="280">
        <v>5500000</v>
      </c>
      <c r="I106" s="280">
        <v>1261538</v>
      </c>
      <c r="J106" s="280">
        <v>0</v>
      </c>
      <c r="K106" s="280">
        <v>0</v>
      </c>
      <c r="L106" s="280">
        <v>2000000</v>
      </c>
      <c r="M106" s="280">
        <v>0</v>
      </c>
      <c r="N106" s="9"/>
      <c r="O106" s="9"/>
      <c r="P106" s="246"/>
      <c r="Q106" s="12"/>
    </row>
    <row r="107" spans="1:18">
      <c r="A107" s="291"/>
      <c r="B107" s="294"/>
      <c r="C107" s="297"/>
      <c r="D107" s="245" t="s">
        <v>3</v>
      </c>
      <c r="E107" s="280">
        <v>0</v>
      </c>
      <c r="F107" s="280">
        <v>0</v>
      </c>
      <c r="G107" s="280">
        <v>0</v>
      </c>
      <c r="H107" s="280">
        <v>7500000</v>
      </c>
      <c r="I107" s="280">
        <v>0</v>
      </c>
      <c r="J107" s="280">
        <v>0</v>
      </c>
      <c r="K107" s="280">
        <v>0</v>
      </c>
      <c r="L107" s="280">
        <v>500000</v>
      </c>
      <c r="M107" s="280">
        <v>0</v>
      </c>
      <c r="N107" s="9"/>
      <c r="O107" s="9"/>
      <c r="P107" s="246"/>
      <c r="Q107" s="12">
        <f t="shared" si="51"/>
        <v>500000</v>
      </c>
    </row>
    <row r="108" spans="1:18">
      <c r="A108" s="291"/>
      <c r="B108" s="294"/>
      <c r="C108" s="297"/>
      <c r="D108" s="245" t="s">
        <v>4</v>
      </c>
      <c r="E108" s="9"/>
      <c r="F108" s="246"/>
      <c r="G108" s="246"/>
      <c r="H108" s="246"/>
      <c r="I108" s="246"/>
      <c r="J108" s="246"/>
      <c r="K108" s="246"/>
      <c r="L108" s="9"/>
      <c r="M108" s="246"/>
      <c r="N108" s="9"/>
      <c r="O108" s="9"/>
      <c r="P108" s="246"/>
      <c r="Q108" s="12">
        <f t="shared" si="51"/>
        <v>0</v>
      </c>
    </row>
    <row r="109" spans="1:18">
      <c r="A109" s="291"/>
      <c r="B109" s="294"/>
      <c r="C109" s="297"/>
      <c r="D109" s="247" t="s">
        <v>5</v>
      </c>
      <c r="E109" s="9"/>
      <c r="F109" s="249"/>
      <c r="G109" s="271"/>
      <c r="H109" s="249"/>
      <c r="I109" s="271"/>
      <c r="J109" s="271"/>
      <c r="K109" s="271"/>
      <c r="L109" s="13"/>
      <c r="M109" s="246"/>
      <c r="N109" s="13"/>
      <c r="O109" s="13"/>
      <c r="P109" s="246"/>
      <c r="Q109" s="12">
        <f t="shared" si="51"/>
        <v>0</v>
      </c>
    </row>
    <row r="110" spans="1:18" s="260" customFormat="1">
      <c r="A110" s="291"/>
      <c r="B110" s="294"/>
      <c r="C110" s="297"/>
      <c r="D110" s="263" t="s">
        <v>75</v>
      </c>
      <c r="E110" s="122">
        <f>SUM(E103:E109)</f>
        <v>0</v>
      </c>
      <c r="F110" s="264">
        <f t="shared" ref="F110:K110" si="52">SUM(F103:F109)</f>
        <v>0</v>
      </c>
      <c r="G110" s="264">
        <f t="shared" si="52"/>
        <v>1193769</v>
      </c>
      <c r="H110" s="264">
        <f t="shared" si="52"/>
        <v>26500000</v>
      </c>
      <c r="I110" s="264">
        <f t="shared" si="52"/>
        <v>1261538</v>
      </c>
      <c r="J110" s="264">
        <f t="shared" si="52"/>
        <v>0</v>
      </c>
      <c r="K110" s="264">
        <f t="shared" si="52"/>
        <v>0</v>
      </c>
      <c r="L110" s="122">
        <f>SUM(L103:L109)</f>
        <v>4760000</v>
      </c>
      <c r="M110" s="122">
        <f t="shared" ref="M110:P110" si="53">SUM(M103:M109)</f>
        <v>0</v>
      </c>
      <c r="N110" s="122">
        <f t="shared" si="53"/>
        <v>0</v>
      </c>
      <c r="O110" s="122">
        <f t="shared" si="53"/>
        <v>0</v>
      </c>
      <c r="P110" s="122">
        <f t="shared" si="53"/>
        <v>0</v>
      </c>
      <c r="Q110" s="124">
        <f t="shared" ref="Q110" si="54">AVERAGE(L110:P110)</f>
        <v>952000</v>
      </c>
    </row>
    <row r="111" spans="1:18">
      <c r="A111" s="291"/>
      <c r="B111" s="294"/>
      <c r="C111" s="297" t="s">
        <v>76</v>
      </c>
      <c r="D111" s="245" t="s">
        <v>131</v>
      </c>
      <c r="E111" s="280">
        <v>0</v>
      </c>
      <c r="F111" s="280">
        <v>0</v>
      </c>
      <c r="G111" s="280">
        <v>0</v>
      </c>
      <c r="H111" s="280">
        <v>1000000</v>
      </c>
      <c r="I111" s="280">
        <v>0</v>
      </c>
      <c r="J111" s="280">
        <v>0</v>
      </c>
      <c r="K111" s="280">
        <v>0</v>
      </c>
      <c r="L111" s="280">
        <v>1000000</v>
      </c>
      <c r="M111" s="280">
        <v>0</v>
      </c>
      <c r="N111" s="11"/>
      <c r="O111" s="11"/>
      <c r="P111" s="246"/>
      <c r="Q111" s="21">
        <f t="shared" ref="Q111:Q115" si="55">SUM(L111:P111)</f>
        <v>1000000</v>
      </c>
    </row>
    <row r="112" spans="1:18">
      <c r="A112" s="291"/>
      <c r="B112" s="294"/>
      <c r="C112" s="297"/>
      <c r="D112" s="245" t="s">
        <v>130</v>
      </c>
      <c r="E112" s="280">
        <v>0</v>
      </c>
      <c r="F112" s="280">
        <v>0</v>
      </c>
      <c r="G112" s="280">
        <v>0</v>
      </c>
      <c r="H112" s="280">
        <v>6500000</v>
      </c>
      <c r="I112" s="280">
        <v>0</v>
      </c>
      <c r="J112" s="280">
        <v>0</v>
      </c>
      <c r="K112" s="280">
        <v>0</v>
      </c>
      <c r="L112" s="280">
        <v>1373846</v>
      </c>
      <c r="M112" s="280">
        <v>0</v>
      </c>
      <c r="N112" s="9"/>
      <c r="O112" s="9"/>
      <c r="P112" s="246"/>
      <c r="Q112" s="12">
        <f t="shared" si="55"/>
        <v>1373846</v>
      </c>
    </row>
    <row r="113" spans="1:18">
      <c r="A113" s="291"/>
      <c r="B113" s="294"/>
      <c r="C113" s="297"/>
      <c r="D113" s="245" t="s">
        <v>129</v>
      </c>
      <c r="E113" s="280">
        <v>0</v>
      </c>
      <c r="F113" s="280">
        <v>38462</v>
      </c>
      <c r="G113" s="280">
        <v>890769</v>
      </c>
      <c r="H113" s="280">
        <v>30829231</v>
      </c>
      <c r="I113" s="280">
        <v>426923</v>
      </c>
      <c r="J113" s="280">
        <v>775000</v>
      </c>
      <c r="K113" s="280">
        <v>0</v>
      </c>
      <c r="L113" s="280">
        <v>3633077</v>
      </c>
      <c r="M113" s="280">
        <v>0</v>
      </c>
      <c r="N113" s="9"/>
      <c r="O113" s="9"/>
      <c r="P113" s="246"/>
      <c r="Q113" s="12">
        <f t="shared" si="55"/>
        <v>3633077</v>
      </c>
    </row>
    <row r="114" spans="1:18">
      <c r="A114" s="291"/>
      <c r="B114" s="294"/>
      <c r="C114" s="297"/>
      <c r="D114" s="245" t="s">
        <v>9</v>
      </c>
      <c r="E114" s="280">
        <v>0</v>
      </c>
      <c r="F114" s="280">
        <v>0</v>
      </c>
      <c r="G114" s="280">
        <v>242308</v>
      </c>
      <c r="H114" s="280">
        <v>77743846</v>
      </c>
      <c r="I114" s="280">
        <v>1362308</v>
      </c>
      <c r="J114" s="280">
        <v>368846</v>
      </c>
      <c r="K114" s="280">
        <v>1774616</v>
      </c>
      <c r="L114" s="280">
        <v>3720001</v>
      </c>
      <c r="M114" s="280">
        <v>1461923</v>
      </c>
      <c r="N114" s="9"/>
      <c r="O114" s="9"/>
      <c r="P114" s="246"/>
      <c r="Q114" s="12">
        <f t="shared" si="55"/>
        <v>5181924</v>
      </c>
    </row>
    <row r="115" spans="1:18">
      <c r="A115" s="291"/>
      <c r="B115" s="294"/>
      <c r="C115" s="297"/>
      <c r="D115" s="247" t="s">
        <v>10</v>
      </c>
      <c r="E115" s="280">
        <v>0</v>
      </c>
      <c r="F115" s="280">
        <v>0</v>
      </c>
      <c r="G115" s="280">
        <v>0</v>
      </c>
      <c r="H115" s="280">
        <v>6500000</v>
      </c>
      <c r="I115" s="280">
        <v>208846</v>
      </c>
      <c r="J115" s="280">
        <v>0</v>
      </c>
      <c r="K115" s="280">
        <v>0</v>
      </c>
      <c r="L115" s="280">
        <v>1182500</v>
      </c>
      <c r="M115" s="280">
        <v>0</v>
      </c>
      <c r="N115" s="13"/>
      <c r="O115" s="13"/>
      <c r="P115" s="246"/>
      <c r="Q115" s="14">
        <f t="shared" si="55"/>
        <v>1182500</v>
      </c>
    </row>
    <row r="116" spans="1:18" s="260" customFormat="1">
      <c r="A116" s="291"/>
      <c r="B116" s="294"/>
      <c r="C116" s="298"/>
      <c r="D116" s="263" t="s">
        <v>75</v>
      </c>
      <c r="E116" s="122">
        <f>SUM(E111:E115)</f>
        <v>0</v>
      </c>
      <c r="F116" s="264">
        <f t="shared" ref="F116:K116" si="56">SUM(F111:F115)</f>
        <v>38462</v>
      </c>
      <c r="G116" s="264">
        <f t="shared" si="56"/>
        <v>1133077</v>
      </c>
      <c r="H116" s="264">
        <f t="shared" si="56"/>
        <v>122573077</v>
      </c>
      <c r="I116" s="264">
        <f t="shared" si="56"/>
        <v>1998077</v>
      </c>
      <c r="J116" s="264">
        <f t="shared" si="56"/>
        <v>1143846</v>
      </c>
      <c r="K116" s="264">
        <f t="shared" si="56"/>
        <v>1774616</v>
      </c>
      <c r="L116" s="122">
        <f>SUM(L111:L115)</f>
        <v>10909424</v>
      </c>
      <c r="M116" s="122">
        <f t="shared" ref="M116:P116" si="57">SUM(M111:M115)</f>
        <v>1461923</v>
      </c>
      <c r="N116" s="122">
        <f t="shared" si="57"/>
        <v>0</v>
      </c>
      <c r="O116" s="122">
        <f t="shared" si="57"/>
        <v>0</v>
      </c>
      <c r="P116" s="122">
        <f t="shared" si="57"/>
        <v>0</v>
      </c>
      <c r="Q116" s="124">
        <f t="shared" ref="Q116:Q117" si="58">AVERAGE(L116:P116)</f>
        <v>2474269.4</v>
      </c>
    </row>
    <row r="117" spans="1:18">
      <c r="A117" s="292"/>
      <c r="B117" s="295"/>
      <c r="C117" s="299" t="s">
        <v>75</v>
      </c>
      <c r="D117" s="299"/>
      <c r="E117" s="15">
        <f>E110+E116</f>
        <v>0</v>
      </c>
      <c r="F117" s="266">
        <f t="shared" ref="F117:K117" si="59">F110+F116</f>
        <v>38462</v>
      </c>
      <c r="G117" s="266">
        <f t="shared" si="59"/>
        <v>2326846</v>
      </c>
      <c r="H117" s="266">
        <f t="shared" si="59"/>
        <v>149073077</v>
      </c>
      <c r="I117" s="266">
        <f t="shared" si="59"/>
        <v>3259615</v>
      </c>
      <c r="J117" s="266">
        <f t="shared" si="59"/>
        <v>1143846</v>
      </c>
      <c r="K117" s="266">
        <f t="shared" si="59"/>
        <v>1774616</v>
      </c>
      <c r="L117" s="15">
        <f>L110+L116</f>
        <v>15669424</v>
      </c>
      <c r="M117" s="15">
        <f t="shared" ref="M117:P117" si="60">M110+M116</f>
        <v>1461923</v>
      </c>
      <c r="N117" s="15">
        <f t="shared" si="60"/>
        <v>0</v>
      </c>
      <c r="O117" s="15">
        <f t="shared" si="60"/>
        <v>0</v>
      </c>
      <c r="P117" s="15">
        <f t="shared" si="60"/>
        <v>0</v>
      </c>
      <c r="Q117" s="16">
        <f t="shared" si="58"/>
        <v>3426269.4</v>
      </c>
    </row>
    <row r="119" spans="1:18">
      <c r="A119" s="236" t="s">
        <v>26</v>
      </c>
      <c r="B119" s="237" t="s">
        <v>71</v>
      </c>
      <c r="D119" s="260" t="s">
        <v>78</v>
      </c>
    </row>
    <row r="120" spans="1:18">
      <c r="A120" s="281" t="s">
        <v>73</v>
      </c>
      <c r="B120" s="282"/>
      <c r="C120" s="283"/>
      <c r="D120" s="281" t="s">
        <v>72</v>
      </c>
      <c r="E120" s="287" t="s">
        <v>132</v>
      </c>
      <c r="F120" s="288"/>
      <c r="G120" s="288"/>
      <c r="H120" s="288"/>
      <c r="I120" s="288"/>
      <c r="J120" s="288"/>
      <c r="K120" s="288"/>
      <c r="L120" s="288"/>
      <c r="M120" s="288"/>
      <c r="N120" s="288"/>
      <c r="O120" s="288"/>
      <c r="P120" s="288"/>
      <c r="Q120" s="289"/>
      <c r="R120" s="237" t="s">
        <v>147</v>
      </c>
    </row>
    <row r="121" spans="1:18">
      <c r="A121" s="284"/>
      <c r="B121" s="285"/>
      <c r="C121" s="286"/>
      <c r="D121" s="284"/>
      <c r="E121" s="238" t="s">
        <v>24</v>
      </c>
      <c r="F121" s="239" t="s">
        <v>16</v>
      </c>
      <c r="G121" s="239" t="s">
        <v>17</v>
      </c>
      <c r="H121" s="239" t="s">
        <v>18</v>
      </c>
      <c r="I121" s="239" t="s">
        <v>19</v>
      </c>
      <c r="J121" s="239" t="s">
        <v>20</v>
      </c>
      <c r="K121" s="239" t="s">
        <v>21</v>
      </c>
      <c r="L121" s="239" t="s">
        <v>11</v>
      </c>
      <c r="M121" s="261" t="s">
        <v>12</v>
      </c>
      <c r="N121" s="261" t="s">
        <v>13</v>
      </c>
      <c r="O121" s="261" t="s">
        <v>14</v>
      </c>
      <c r="P121" s="261" t="s">
        <v>15</v>
      </c>
      <c r="Q121" s="277" t="s">
        <v>75</v>
      </c>
    </row>
    <row r="122" spans="1:18">
      <c r="A122" s="290" t="s">
        <v>22</v>
      </c>
      <c r="B122" s="293" t="s">
        <v>79</v>
      </c>
      <c r="C122" s="296" t="s">
        <v>74</v>
      </c>
      <c r="D122" s="242" t="s">
        <v>0</v>
      </c>
      <c r="E122" s="8"/>
      <c r="F122" s="8"/>
      <c r="G122" s="244"/>
      <c r="H122" s="244"/>
      <c r="I122" s="244"/>
      <c r="J122" s="244"/>
      <c r="K122" s="244"/>
      <c r="L122" s="8"/>
      <c r="M122" s="8"/>
      <c r="N122" s="8"/>
      <c r="O122" s="8"/>
      <c r="P122" s="8"/>
      <c r="Q122" s="20">
        <f t="shared" ref="Q122" si="61">SUM(L122:P122)</f>
        <v>0</v>
      </c>
    </row>
    <row r="123" spans="1:18">
      <c r="A123" s="291"/>
      <c r="B123" s="294"/>
      <c r="C123" s="297"/>
      <c r="D123" s="245" t="s">
        <v>1</v>
      </c>
      <c r="E123" s="280">
        <v>0</v>
      </c>
      <c r="F123" s="280">
        <v>0</v>
      </c>
      <c r="G123" s="280">
        <v>22500000</v>
      </c>
      <c r="H123" s="280">
        <v>0</v>
      </c>
      <c r="I123" s="280">
        <v>0</v>
      </c>
      <c r="J123" s="280">
        <v>0</v>
      </c>
      <c r="K123" s="280">
        <v>0</v>
      </c>
      <c r="L123" s="280">
        <v>0</v>
      </c>
      <c r="M123" s="280">
        <v>0</v>
      </c>
      <c r="N123" s="9"/>
      <c r="O123" s="9"/>
      <c r="P123" s="9"/>
      <c r="Q123" s="12">
        <f>SUM(L123:P123)</f>
        <v>0</v>
      </c>
    </row>
    <row r="124" spans="1:18">
      <c r="A124" s="291"/>
      <c r="B124" s="294"/>
      <c r="C124" s="297"/>
      <c r="D124" s="245" t="s">
        <v>2</v>
      </c>
      <c r="E124" s="280">
        <v>0</v>
      </c>
      <c r="F124" s="280">
        <v>0</v>
      </c>
      <c r="G124" s="280">
        <v>75000000</v>
      </c>
      <c r="H124" s="280">
        <v>500000</v>
      </c>
      <c r="I124" s="280">
        <v>0</v>
      </c>
      <c r="J124" s="280">
        <v>0</v>
      </c>
      <c r="K124" s="280">
        <v>0</v>
      </c>
      <c r="L124" s="280">
        <v>2260000</v>
      </c>
      <c r="M124" s="280">
        <v>1400000</v>
      </c>
      <c r="N124" s="9"/>
      <c r="O124" s="9"/>
      <c r="P124" s="9"/>
      <c r="Q124" s="12">
        <f t="shared" ref="Q124:Q128" si="62">SUM(L124:P124)</f>
        <v>3660000</v>
      </c>
    </row>
    <row r="125" spans="1:18">
      <c r="A125" s="291"/>
      <c r="B125" s="294"/>
      <c r="C125" s="297"/>
      <c r="D125" s="245" t="s">
        <v>128</v>
      </c>
      <c r="E125" s="280"/>
      <c r="F125" s="280"/>
      <c r="G125" s="280">
        <v>18900000</v>
      </c>
      <c r="H125" s="280">
        <v>0</v>
      </c>
      <c r="I125" s="280">
        <v>0</v>
      </c>
      <c r="J125" s="280">
        <v>0</v>
      </c>
      <c r="K125" s="280">
        <v>0</v>
      </c>
      <c r="L125" s="280">
        <v>2000000</v>
      </c>
      <c r="M125" s="280">
        <v>0</v>
      </c>
      <c r="N125" s="9"/>
      <c r="O125" s="9"/>
      <c r="P125" s="9"/>
      <c r="Q125" s="12"/>
    </row>
    <row r="126" spans="1:18">
      <c r="A126" s="291"/>
      <c r="B126" s="294"/>
      <c r="C126" s="297"/>
      <c r="D126" s="245" t="s">
        <v>3</v>
      </c>
      <c r="E126" s="280">
        <v>0</v>
      </c>
      <c r="F126" s="280">
        <v>0</v>
      </c>
      <c r="G126" s="280">
        <v>23400000</v>
      </c>
      <c r="H126" s="280">
        <v>500000</v>
      </c>
      <c r="I126" s="280">
        <v>0</v>
      </c>
      <c r="J126" s="280">
        <v>0</v>
      </c>
      <c r="K126" s="280">
        <v>0</v>
      </c>
      <c r="L126" s="280">
        <v>500000</v>
      </c>
      <c r="M126" s="280">
        <v>200000</v>
      </c>
      <c r="N126" s="9"/>
      <c r="O126" s="9"/>
      <c r="P126" s="9"/>
      <c r="Q126" s="12">
        <f t="shared" si="62"/>
        <v>700000</v>
      </c>
    </row>
    <row r="127" spans="1:18">
      <c r="A127" s="291"/>
      <c r="B127" s="294"/>
      <c r="C127" s="297"/>
      <c r="D127" s="245" t="s">
        <v>4</v>
      </c>
      <c r="E127" s="9"/>
      <c r="F127" s="9"/>
      <c r="G127" s="246"/>
      <c r="H127" s="246"/>
      <c r="I127" s="246"/>
      <c r="J127" s="246"/>
      <c r="K127" s="246"/>
      <c r="L127" s="9"/>
      <c r="M127" s="9"/>
      <c r="N127" s="9"/>
      <c r="O127" s="9"/>
      <c r="P127" s="9"/>
      <c r="Q127" s="12">
        <f t="shared" si="62"/>
        <v>0</v>
      </c>
    </row>
    <row r="128" spans="1:18">
      <c r="A128" s="291"/>
      <c r="B128" s="294"/>
      <c r="C128" s="297"/>
      <c r="D128" s="247" t="s">
        <v>5</v>
      </c>
      <c r="E128" s="235"/>
      <c r="F128" s="235"/>
      <c r="G128" s="271"/>
      <c r="H128" s="271"/>
      <c r="I128" s="271"/>
      <c r="J128" s="271"/>
      <c r="K128" s="271"/>
      <c r="L128" s="13"/>
      <c r="M128" s="13"/>
      <c r="N128" s="13"/>
      <c r="O128" s="13"/>
      <c r="P128" s="13"/>
      <c r="Q128" s="12">
        <f t="shared" si="62"/>
        <v>0</v>
      </c>
    </row>
    <row r="129" spans="1:19">
      <c r="A129" s="291"/>
      <c r="B129" s="294"/>
      <c r="C129" s="297"/>
      <c r="D129" s="263" t="s">
        <v>75</v>
      </c>
      <c r="E129" s="122">
        <f>SUM(E122:E128)</f>
        <v>0</v>
      </c>
      <c r="F129" s="264">
        <f t="shared" ref="F129:K129" si="63">SUM(F122:F128)</f>
        <v>0</v>
      </c>
      <c r="G129" s="264">
        <f t="shared" si="63"/>
        <v>139800000</v>
      </c>
      <c r="H129" s="264">
        <f t="shared" si="63"/>
        <v>1000000</v>
      </c>
      <c r="I129" s="264">
        <f t="shared" si="63"/>
        <v>0</v>
      </c>
      <c r="J129" s="264">
        <f t="shared" si="63"/>
        <v>0</v>
      </c>
      <c r="K129" s="264">
        <f t="shared" si="63"/>
        <v>0</v>
      </c>
      <c r="L129" s="122">
        <f>SUM(L122:L128)</f>
        <v>4760000</v>
      </c>
      <c r="M129" s="122">
        <f t="shared" ref="M129:P129" si="64">SUM(M122:M128)</f>
        <v>1600000</v>
      </c>
      <c r="N129" s="122">
        <f t="shared" si="64"/>
        <v>0</v>
      </c>
      <c r="O129" s="122">
        <f t="shared" si="64"/>
        <v>0</v>
      </c>
      <c r="P129" s="122">
        <f t="shared" si="64"/>
        <v>0</v>
      </c>
      <c r="Q129" s="124">
        <f t="shared" ref="Q129" si="65">AVERAGE(L129:P129)</f>
        <v>1272000</v>
      </c>
    </row>
    <row r="130" spans="1:19">
      <c r="A130" s="291"/>
      <c r="B130" s="294"/>
      <c r="C130" s="297" t="s">
        <v>76</v>
      </c>
      <c r="D130" s="245" t="s">
        <v>131</v>
      </c>
      <c r="E130" s="280">
        <v>0</v>
      </c>
      <c r="F130" s="280">
        <v>0</v>
      </c>
      <c r="G130" s="280">
        <v>9960000</v>
      </c>
      <c r="H130" s="280">
        <v>0</v>
      </c>
      <c r="I130" s="280">
        <v>0</v>
      </c>
      <c r="J130" s="280">
        <v>500000</v>
      </c>
      <c r="K130" s="280">
        <v>0</v>
      </c>
      <c r="L130" s="280">
        <v>1000000</v>
      </c>
      <c r="M130" s="280">
        <v>0</v>
      </c>
      <c r="N130" s="11"/>
      <c r="O130" s="11"/>
      <c r="P130" s="11"/>
      <c r="Q130" s="21">
        <f t="shared" ref="Q130:Q134" si="66">SUM(L130:P130)</f>
        <v>1000000</v>
      </c>
    </row>
    <row r="131" spans="1:19">
      <c r="A131" s="291"/>
      <c r="B131" s="294"/>
      <c r="C131" s="297"/>
      <c r="D131" s="245" t="s">
        <v>130</v>
      </c>
      <c r="E131" s="280">
        <v>0</v>
      </c>
      <c r="F131" s="280">
        <v>0</v>
      </c>
      <c r="G131" s="280">
        <v>28772250</v>
      </c>
      <c r="H131" s="280">
        <v>0</v>
      </c>
      <c r="I131" s="280">
        <v>2000000</v>
      </c>
      <c r="J131" s="280">
        <v>200000</v>
      </c>
      <c r="K131" s="280">
        <v>0</v>
      </c>
      <c r="L131" s="280">
        <v>500000</v>
      </c>
      <c r="M131" s="280">
        <v>730000</v>
      </c>
      <c r="N131" s="9"/>
      <c r="O131" s="9"/>
      <c r="P131" s="9"/>
      <c r="Q131" s="12">
        <f t="shared" si="66"/>
        <v>1230000</v>
      </c>
    </row>
    <row r="132" spans="1:19">
      <c r="A132" s="291"/>
      <c r="B132" s="294"/>
      <c r="C132" s="297"/>
      <c r="D132" s="245" t="s">
        <v>129</v>
      </c>
      <c r="E132" s="280">
        <v>0</v>
      </c>
      <c r="F132" s="280">
        <v>0</v>
      </c>
      <c r="G132" s="280">
        <v>107862500</v>
      </c>
      <c r="H132" s="280">
        <v>2100000</v>
      </c>
      <c r="I132" s="280">
        <v>7400000</v>
      </c>
      <c r="J132" s="280">
        <v>1900000</v>
      </c>
      <c r="K132" s="280">
        <v>3600000</v>
      </c>
      <c r="L132" s="280">
        <v>2000000</v>
      </c>
      <c r="M132" s="280">
        <v>1400000</v>
      </c>
      <c r="N132" s="9"/>
      <c r="O132" s="9"/>
      <c r="P132" s="9"/>
      <c r="Q132" s="12">
        <f t="shared" si="66"/>
        <v>3400000</v>
      </c>
    </row>
    <row r="133" spans="1:19">
      <c r="A133" s="291"/>
      <c r="B133" s="294"/>
      <c r="C133" s="297"/>
      <c r="D133" s="245" t="s">
        <v>9</v>
      </c>
      <c r="E133" s="280">
        <v>0</v>
      </c>
      <c r="F133" s="280">
        <v>0</v>
      </c>
      <c r="G133" s="280">
        <v>80077000</v>
      </c>
      <c r="H133" s="280">
        <v>300000</v>
      </c>
      <c r="I133" s="280">
        <v>3000000</v>
      </c>
      <c r="J133" s="280">
        <v>4000000</v>
      </c>
      <c r="K133" s="280">
        <v>9300000</v>
      </c>
      <c r="L133" s="280">
        <v>500000</v>
      </c>
      <c r="M133" s="280">
        <v>3500000</v>
      </c>
      <c r="N133" s="9"/>
      <c r="O133" s="9"/>
      <c r="P133" s="9"/>
      <c r="Q133" s="12">
        <f t="shared" si="66"/>
        <v>4000000</v>
      </c>
    </row>
    <row r="134" spans="1:19">
      <c r="A134" s="291"/>
      <c r="B134" s="294"/>
      <c r="C134" s="297"/>
      <c r="D134" s="247" t="s">
        <v>10</v>
      </c>
      <c r="E134" s="280">
        <v>0</v>
      </c>
      <c r="F134" s="280">
        <v>0</v>
      </c>
      <c r="G134" s="280">
        <v>1207500</v>
      </c>
      <c r="H134" s="280">
        <v>0</v>
      </c>
      <c r="I134" s="280">
        <v>0</v>
      </c>
      <c r="J134" s="280">
        <v>0</v>
      </c>
      <c r="K134" s="280">
        <v>0</v>
      </c>
      <c r="L134" s="280">
        <v>0</v>
      </c>
      <c r="M134" s="280">
        <v>0</v>
      </c>
      <c r="N134" s="13"/>
      <c r="O134" s="13"/>
      <c r="P134" s="13"/>
      <c r="Q134" s="14">
        <f t="shared" si="66"/>
        <v>0</v>
      </c>
    </row>
    <row r="135" spans="1:19">
      <c r="A135" s="291"/>
      <c r="B135" s="294"/>
      <c r="C135" s="298"/>
      <c r="D135" s="263" t="s">
        <v>75</v>
      </c>
      <c r="E135" s="122">
        <f>SUM(E130:E134)</f>
        <v>0</v>
      </c>
      <c r="F135" s="264">
        <f t="shared" ref="F135:K135" si="67">SUM(F130:F134)</f>
        <v>0</v>
      </c>
      <c r="G135" s="264">
        <f t="shared" si="67"/>
        <v>227879250</v>
      </c>
      <c r="H135" s="264">
        <f t="shared" si="67"/>
        <v>2400000</v>
      </c>
      <c r="I135" s="264">
        <f t="shared" si="67"/>
        <v>12400000</v>
      </c>
      <c r="J135" s="264">
        <f t="shared" si="67"/>
        <v>6600000</v>
      </c>
      <c r="K135" s="264">
        <f t="shared" si="67"/>
        <v>12900000</v>
      </c>
      <c r="L135" s="122">
        <f>SUM(L130:L134)</f>
        <v>4000000</v>
      </c>
      <c r="M135" s="122">
        <f t="shared" ref="M135:P135" si="68">SUM(M130:M134)</f>
        <v>5630000</v>
      </c>
      <c r="N135" s="122">
        <f t="shared" si="68"/>
        <v>0</v>
      </c>
      <c r="O135" s="122">
        <f t="shared" si="68"/>
        <v>0</v>
      </c>
      <c r="P135" s="122">
        <f t="shared" si="68"/>
        <v>0</v>
      </c>
      <c r="Q135" s="124">
        <f t="shared" ref="Q135:Q136" si="69">AVERAGE(L135:P135)</f>
        <v>1926000</v>
      </c>
    </row>
    <row r="136" spans="1:19">
      <c r="A136" s="292"/>
      <c r="B136" s="295"/>
      <c r="C136" s="299" t="s">
        <v>75</v>
      </c>
      <c r="D136" s="299"/>
      <c r="E136" s="15">
        <f>E129+E135</f>
        <v>0</v>
      </c>
      <c r="F136" s="266">
        <f t="shared" ref="F136:K136" si="70">F129+F135</f>
        <v>0</v>
      </c>
      <c r="G136" s="266">
        <f t="shared" si="70"/>
        <v>367679250</v>
      </c>
      <c r="H136" s="266">
        <f t="shared" si="70"/>
        <v>3400000</v>
      </c>
      <c r="I136" s="266">
        <f t="shared" si="70"/>
        <v>12400000</v>
      </c>
      <c r="J136" s="266">
        <f t="shared" si="70"/>
        <v>6600000</v>
      </c>
      <c r="K136" s="266">
        <f t="shared" si="70"/>
        <v>12900000</v>
      </c>
      <c r="L136" s="15">
        <f>L129+L135</f>
        <v>8760000</v>
      </c>
      <c r="M136" s="15">
        <f t="shared" ref="M136:P136" si="71">M129+M135</f>
        <v>7230000</v>
      </c>
      <c r="N136" s="15">
        <f t="shared" si="71"/>
        <v>0</v>
      </c>
      <c r="O136" s="15">
        <f t="shared" si="71"/>
        <v>0</v>
      </c>
      <c r="P136" s="15">
        <f t="shared" si="71"/>
        <v>0</v>
      </c>
      <c r="Q136" s="16">
        <f t="shared" si="69"/>
        <v>3198000</v>
      </c>
      <c r="R136" s="262"/>
    </row>
    <row r="138" spans="1:19">
      <c r="A138" s="236" t="s">
        <v>26</v>
      </c>
      <c r="B138" s="237" t="s">
        <v>71</v>
      </c>
      <c r="D138" s="260" t="s">
        <v>84</v>
      </c>
    </row>
    <row r="139" spans="1:19">
      <c r="A139" s="281" t="s">
        <v>73</v>
      </c>
      <c r="B139" s="282"/>
      <c r="C139" s="283"/>
      <c r="D139" s="281" t="s">
        <v>72</v>
      </c>
      <c r="E139" s="287" t="s">
        <v>132</v>
      </c>
      <c r="F139" s="288"/>
      <c r="G139" s="288"/>
      <c r="H139" s="288"/>
      <c r="I139" s="288"/>
      <c r="J139" s="288"/>
      <c r="K139" s="288"/>
      <c r="L139" s="288"/>
      <c r="M139" s="288"/>
      <c r="N139" s="288"/>
      <c r="O139" s="288"/>
      <c r="P139" s="288"/>
      <c r="Q139" s="289"/>
      <c r="R139" s="237" t="s">
        <v>143</v>
      </c>
      <c r="S139" s="237" t="s">
        <v>145</v>
      </c>
    </row>
    <row r="140" spans="1:19">
      <c r="A140" s="284"/>
      <c r="B140" s="285"/>
      <c r="C140" s="286"/>
      <c r="D140" s="284"/>
      <c r="E140" s="238" t="s">
        <v>24</v>
      </c>
      <c r="F140" s="239" t="s">
        <v>16</v>
      </c>
      <c r="G140" s="239" t="s">
        <v>17</v>
      </c>
      <c r="H140" s="239" t="s">
        <v>18</v>
      </c>
      <c r="I140" s="239" t="s">
        <v>19</v>
      </c>
      <c r="J140" s="239" t="s">
        <v>20</v>
      </c>
      <c r="K140" s="239" t="s">
        <v>21</v>
      </c>
      <c r="L140" s="239" t="s">
        <v>11</v>
      </c>
      <c r="M140" s="261" t="s">
        <v>12</v>
      </c>
      <c r="N140" s="261" t="s">
        <v>13</v>
      </c>
      <c r="O140" s="261" t="s">
        <v>14</v>
      </c>
      <c r="P140" s="261" t="s">
        <v>15</v>
      </c>
      <c r="Q140" s="277" t="s">
        <v>75</v>
      </c>
    </row>
    <row r="141" spans="1:19">
      <c r="A141" s="290" t="s">
        <v>22</v>
      </c>
      <c r="B141" s="293" t="s">
        <v>79</v>
      </c>
      <c r="C141" s="296" t="s">
        <v>74</v>
      </c>
      <c r="D141" s="242" t="s">
        <v>0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20">
        <f t="shared" ref="Q141" si="72">SUM(L141:P141)</f>
        <v>0</v>
      </c>
    </row>
    <row r="142" spans="1:19">
      <c r="A142" s="291"/>
      <c r="B142" s="294"/>
      <c r="C142" s="297"/>
      <c r="D142" s="245" t="s">
        <v>1</v>
      </c>
      <c r="E142" s="280">
        <v>0</v>
      </c>
      <c r="F142" s="280">
        <v>0</v>
      </c>
      <c r="G142" s="280">
        <v>0</v>
      </c>
      <c r="H142" s="280">
        <v>0</v>
      </c>
      <c r="I142" s="280">
        <v>0</v>
      </c>
      <c r="J142" s="280">
        <v>0</v>
      </c>
      <c r="K142" s="280">
        <v>0</v>
      </c>
      <c r="L142" s="280">
        <v>0</v>
      </c>
      <c r="M142" s="280">
        <v>0</v>
      </c>
      <c r="N142" s="9"/>
      <c r="O142" s="9"/>
      <c r="P142" s="9"/>
      <c r="Q142" s="12">
        <f>SUM(L142:P142)</f>
        <v>0</v>
      </c>
    </row>
    <row r="143" spans="1:19">
      <c r="A143" s="291"/>
      <c r="B143" s="294"/>
      <c r="C143" s="297"/>
      <c r="D143" s="245" t="s">
        <v>2</v>
      </c>
      <c r="E143" s="280">
        <v>1500000</v>
      </c>
      <c r="F143" s="280">
        <v>0</v>
      </c>
      <c r="G143" s="280">
        <v>0</v>
      </c>
      <c r="H143" s="280">
        <v>0</v>
      </c>
      <c r="I143" s="280">
        <v>1300000</v>
      </c>
      <c r="J143" s="280">
        <v>1000000</v>
      </c>
      <c r="K143" s="280">
        <v>1500000</v>
      </c>
      <c r="L143" s="280">
        <v>0</v>
      </c>
      <c r="M143" s="280">
        <v>0</v>
      </c>
      <c r="N143" s="9"/>
      <c r="O143" s="9"/>
      <c r="P143" s="9"/>
      <c r="Q143" s="12">
        <f t="shared" ref="Q143:Q147" si="73">SUM(L143:P143)</f>
        <v>0</v>
      </c>
    </row>
    <row r="144" spans="1:19">
      <c r="A144" s="291"/>
      <c r="B144" s="294"/>
      <c r="C144" s="297"/>
      <c r="D144" s="245" t="s">
        <v>86</v>
      </c>
      <c r="E144" s="280"/>
      <c r="F144" s="280"/>
      <c r="G144" s="280">
        <v>0</v>
      </c>
      <c r="H144" s="280">
        <v>0</v>
      </c>
      <c r="I144" s="280">
        <v>0</v>
      </c>
      <c r="J144" s="280">
        <v>0</v>
      </c>
      <c r="K144" s="280">
        <v>0</v>
      </c>
      <c r="L144" s="280">
        <v>0</v>
      </c>
      <c r="M144" s="280">
        <v>0</v>
      </c>
      <c r="N144" s="9"/>
      <c r="O144" s="9"/>
      <c r="P144" s="9"/>
      <c r="Q144" s="12"/>
    </row>
    <row r="145" spans="1:18">
      <c r="A145" s="291"/>
      <c r="B145" s="294"/>
      <c r="C145" s="297"/>
      <c r="D145" s="245" t="s">
        <v>134</v>
      </c>
      <c r="E145" s="280">
        <v>1200000</v>
      </c>
      <c r="F145" s="280">
        <v>0</v>
      </c>
      <c r="G145" s="280">
        <v>0</v>
      </c>
      <c r="H145" s="280">
        <v>0</v>
      </c>
      <c r="I145" s="280">
        <v>0</v>
      </c>
      <c r="J145" s="280">
        <v>0</v>
      </c>
      <c r="K145" s="280">
        <v>1500000</v>
      </c>
      <c r="L145" s="280">
        <v>0</v>
      </c>
      <c r="M145" s="280">
        <v>0</v>
      </c>
      <c r="N145" s="9"/>
      <c r="O145" s="9"/>
      <c r="P145" s="9"/>
      <c r="Q145" s="12">
        <f t="shared" si="73"/>
        <v>0</v>
      </c>
    </row>
    <row r="146" spans="1:18">
      <c r="A146" s="291"/>
      <c r="B146" s="294"/>
      <c r="C146" s="297"/>
      <c r="D146" s="245" t="s">
        <v>135</v>
      </c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12">
        <f t="shared" si="73"/>
        <v>0</v>
      </c>
    </row>
    <row r="147" spans="1:18">
      <c r="A147" s="291"/>
      <c r="B147" s="294"/>
      <c r="C147" s="297"/>
      <c r="D147" s="272" t="s">
        <v>136</v>
      </c>
      <c r="E147" s="235"/>
      <c r="F147" s="235"/>
      <c r="G147" s="235"/>
      <c r="H147" s="235"/>
      <c r="I147" s="235"/>
      <c r="J147" s="235"/>
      <c r="K147" s="235"/>
      <c r="L147" s="235"/>
      <c r="M147" s="235"/>
      <c r="N147" s="235"/>
      <c r="O147" s="235"/>
      <c r="P147" s="235"/>
      <c r="Q147" s="12">
        <f t="shared" si="73"/>
        <v>0</v>
      </c>
    </row>
    <row r="148" spans="1:18">
      <c r="A148" s="291"/>
      <c r="B148" s="294"/>
      <c r="C148" s="297"/>
      <c r="D148" s="263" t="s">
        <v>75</v>
      </c>
      <c r="E148" s="122">
        <f>SUM(E141:E147)</f>
        <v>2700000</v>
      </c>
      <c r="F148" s="264">
        <f t="shared" ref="F148:K148" si="74">SUM(F141:F147)</f>
        <v>0</v>
      </c>
      <c r="G148" s="264">
        <f t="shared" si="74"/>
        <v>0</v>
      </c>
      <c r="H148" s="264">
        <f t="shared" si="74"/>
        <v>0</v>
      </c>
      <c r="I148" s="264">
        <f t="shared" si="74"/>
        <v>1300000</v>
      </c>
      <c r="J148" s="264">
        <f t="shared" si="74"/>
        <v>1000000</v>
      </c>
      <c r="K148" s="264">
        <f t="shared" si="74"/>
        <v>3000000</v>
      </c>
      <c r="L148" s="122">
        <f>SUM(L141:L147)</f>
        <v>0</v>
      </c>
      <c r="M148" s="122">
        <f t="shared" ref="M148:P148" si="75">SUM(M141:M147)</f>
        <v>0</v>
      </c>
      <c r="N148" s="122">
        <f t="shared" si="75"/>
        <v>0</v>
      </c>
      <c r="O148" s="122">
        <f t="shared" si="75"/>
        <v>0</v>
      </c>
      <c r="P148" s="122">
        <f t="shared" si="75"/>
        <v>0</v>
      </c>
      <c r="Q148" s="124">
        <f t="shared" ref="Q148" si="76">AVERAGE(L148:P148)</f>
        <v>0</v>
      </c>
    </row>
    <row r="149" spans="1:18">
      <c r="A149" s="291"/>
      <c r="B149" s="294"/>
      <c r="C149" s="297" t="s">
        <v>76</v>
      </c>
      <c r="D149" s="245" t="s">
        <v>131</v>
      </c>
      <c r="E149" s="280">
        <v>0</v>
      </c>
      <c r="F149" s="280">
        <v>0</v>
      </c>
      <c r="G149" s="280">
        <v>0</v>
      </c>
      <c r="H149" s="280">
        <v>0</v>
      </c>
      <c r="I149" s="280">
        <v>0</v>
      </c>
      <c r="J149" s="280">
        <v>0</v>
      </c>
      <c r="K149" s="280">
        <v>0</v>
      </c>
      <c r="L149" s="280">
        <v>0</v>
      </c>
      <c r="M149" s="280">
        <v>0</v>
      </c>
      <c r="N149" s="8"/>
      <c r="O149" s="8"/>
      <c r="P149" s="8"/>
      <c r="Q149" s="21">
        <f t="shared" ref="Q149:Q153" si="77">SUM(L149:P149)</f>
        <v>0</v>
      </c>
    </row>
    <row r="150" spans="1:18">
      <c r="A150" s="291"/>
      <c r="B150" s="294"/>
      <c r="C150" s="297"/>
      <c r="D150" s="245" t="s">
        <v>130</v>
      </c>
      <c r="E150" s="280">
        <v>1200000</v>
      </c>
      <c r="F150" s="280">
        <v>0</v>
      </c>
      <c r="G150" s="280">
        <v>0</v>
      </c>
      <c r="H150" s="280">
        <v>0</v>
      </c>
      <c r="I150" s="280">
        <v>0</v>
      </c>
      <c r="J150" s="280">
        <v>600000</v>
      </c>
      <c r="K150" s="280">
        <v>0</v>
      </c>
      <c r="L150" s="280">
        <v>0</v>
      </c>
      <c r="M150" s="280">
        <v>0</v>
      </c>
      <c r="N150" s="9"/>
      <c r="O150" s="9"/>
      <c r="P150" s="9"/>
      <c r="Q150" s="12">
        <f t="shared" si="77"/>
        <v>0</v>
      </c>
    </row>
    <row r="151" spans="1:18">
      <c r="A151" s="291"/>
      <c r="B151" s="294"/>
      <c r="C151" s="297"/>
      <c r="D151" s="245" t="s">
        <v>129</v>
      </c>
      <c r="E151" s="280">
        <v>900000</v>
      </c>
      <c r="F151" s="280">
        <v>2640000</v>
      </c>
      <c r="G151" s="280">
        <v>0</v>
      </c>
      <c r="H151" s="280">
        <v>0</v>
      </c>
      <c r="I151" s="280">
        <v>300000</v>
      </c>
      <c r="J151" s="280">
        <v>600000</v>
      </c>
      <c r="K151" s="280">
        <v>300000</v>
      </c>
      <c r="L151" s="280">
        <v>600000</v>
      </c>
      <c r="M151" s="280">
        <v>300000</v>
      </c>
      <c r="N151" s="9"/>
      <c r="O151" s="9"/>
      <c r="P151" s="9"/>
      <c r="Q151" s="12">
        <f t="shared" si="77"/>
        <v>900000</v>
      </c>
    </row>
    <row r="152" spans="1:18">
      <c r="A152" s="291"/>
      <c r="B152" s="294"/>
      <c r="C152" s="297"/>
      <c r="D152" s="245" t="s">
        <v>9</v>
      </c>
      <c r="E152" s="280">
        <v>0</v>
      </c>
      <c r="F152" s="280">
        <v>1080000</v>
      </c>
      <c r="G152" s="280">
        <v>0</v>
      </c>
      <c r="H152" s="280">
        <v>0</v>
      </c>
      <c r="I152" s="280">
        <v>0</v>
      </c>
      <c r="J152" s="280">
        <v>300000</v>
      </c>
      <c r="K152" s="280">
        <v>1200000</v>
      </c>
      <c r="L152" s="280">
        <v>0</v>
      </c>
      <c r="M152" s="280">
        <v>1100000</v>
      </c>
      <c r="N152" s="9"/>
      <c r="O152" s="9"/>
      <c r="P152" s="9"/>
      <c r="Q152" s="12">
        <f t="shared" si="77"/>
        <v>1100000</v>
      </c>
    </row>
    <row r="153" spans="1:18">
      <c r="A153" s="291"/>
      <c r="B153" s="294"/>
      <c r="C153" s="297"/>
      <c r="D153" s="247" t="s">
        <v>10</v>
      </c>
      <c r="E153" s="280">
        <v>0</v>
      </c>
      <c r="F153" s="280">
        <v>0</v>
      </c>
      <c r="G153" s="280">
        <v>0</v>
      </c>
      <c r="H153" s="280">
        <v>0</v>
      </c>
      <c r="I153" s="280">
        <v>0</v>
      </c>
      <c r="J153" s="280">
        <v>1000000</v>
      </c>
      <c r="K153" s="280">
        <v>0</v>
      </c>
      <c r="L153" s="280">
        <v>1500000</v>
      </c>
      <c r="M153" s="280">
        <v>0</v>
      </c>
      <c r="N153" s="235"/>
      <c r="O153" s="235"/>
      <c r="P153" s="235"/>
      <c r="Q153" s="14">
        <f t="shared" si="77"/>
        <v>1500000</v>
      </c>
    </row>
    <row r="154" spans="1:18">
      <c r="A154" s="291"/>
      <c r="B154" s="294"/>
      <c r="C154" s="298"/>
      <c r="D154" s="263" t="s">
        <v>75</v>
      </c>
      <c r="E154" s="122">
        <f>SUM(E149:E153)</f>
        <v>2100000</v>
      </c>
      <c r="F154" s="264">
        <f t="shared" ref="F154:K154" si="78">SUM(F149:F153)</f>
        <v>3720000</v>
      </c>
      <c r="G154" s="264">
        <f t="shared" si="78"/>
        <v>0</v>
      </c>
      <c r="H154" s="264">
        <f t="shared" si="78"/>
        <v>0</v>
      </c>
      <c r="I154" s="264">
        <f t="shared" si="78"/>
        <v>300000</v>
      </c>
      <c r="J154" s="264">
        <f t="shared" si="78"/>
        <v>2500000</v>
      </c>
      <c r="K154" s="264">
        <f t="shared" si="78"/>
        <v>1500000</v>
      </c>
      <c r="L154" s="122">
        <f>SUM(L149:L153)</f>
        <v>2100000</v>
      </c>
      <c r="M154" s="122">
        <f t="shared" ref="M154:P154" si="79">SUM(M149:M153)</f>
        <v>1400000</v>
      </c>
      <c r="N154" s="122">
        <f t="shared" si="79"/>
        <v>0</v>
      </c>
      <c r="O154" s="122">
        <f t="shared" si="79"/>
        <v>0</v>
      </c>
      <c r="P154" s="122">
        <f t="shared" si="79"/>
        <v>0</v>
      </c>
      <c r="Q154" s="124">
        <f t="shared" ref="Q154:Q155" si="80">AVERAGE(L154:P154)</f>
        <v>700000</v>
      </c>
    </row>
    <row r="155" spans="1:18">
      <c r="A155" s="292"/>
      <c r="B155" s="295"/>
      <c r="C155" s="299" t="s">
        <v>75</v>
      </c>
      <c r="D155" s="299"/>
      <c r="E155" s="15">
        <f>E148+E154</f>
        <v>4800000</v>
      </c>
      <c r="F155" s="266">
        <f t="shared" ref="F155:K155" si="81">F148+F154</f>
        <v>3720000</v>
      </c>
      <c r="G155" s="266">
        <f t="shared" si="81"/>
        <v>0</v>
      </c>
      <c r="H155" s="266">
        <f t="shared" si="81"/>
        <v>0</v>
      </c>
      <c r="I155" s="266">
        <f t="shared" si="81"/>
        <v>1600000</v>
      </c>
      <c r="J155" s="266">
        <f t="shared" si="81"/>
        <v>3500000</v>
      </c>
      <c r="K155" s="266">
        <f t="shared" si="81"/>
        <v>4500000</v>
      </c>
      <c r="L155" s="15">
        <f>L148+L154</f>
        <v>2100000</v>
      </c>
      <c r="M155" s="15">
        <f t="shared" ref="M155:P155" si="82">M148+M154</f>
        <v>1400000</v>
      </c>
      <c r="N155" s="15">
        <f t="shared" si="82"/>
        <v>0</v>
      </c>
      <c r="O155" s="15">
        <f t="shared" si="82"/>
        <v>0</v>
      </c>
      <c r="P155" s="15">
        <f t="shared" si="82"/>
        <v>0</v>
      </c>
      <c r="Q155" s="16">
        <f t="shared" si="80"/>
        <v>700000</v>
      </c>
      <c r="R155" s="262"/>
    </row>
    <row r="156" spans="1:18">
      <c r="R156" s="262"/>
    </row>
    <row r="157" spans="1:18" s="273" customFormat="1" hidden="1">
      <c r="A157" s="236" t="s">
        <v>26</v>
      </c>
      <c r="B157" s="237" t="s">
        <v>71</v>
      </c>
      <c r="C157" s="237"/>
      <c r="D157" s="260" t="s">
        <v>85</v>
      </c>
      <c r="E157" s="237"/>
      <c r="F157" s="237"/>
      <c r="G157" s="237"/>
      <c r="H157" s="237"/>
      <c r="I157" s="237"/>
      <c r="J157" s="237"/>
      <c r="K157" s="237"/>
      <c r="L157" s="237"/>
      <c r="M157" s="237"/>
      <c r="N157" s="237"/>
      <c r="O157" s="237"/>
      <c r="P157" s="237"/>
      <c r="Q157" s="237"/>
    </row>
    <row r="158" spans="1:18" s="274" customFormat="1" ht="16.5" hidden="1" customHeight="1">
      <c r="A158" s="281" t="s">
        <v>73</v>
      </c>
      <c r="B158" s="282"/>
      <c r="C158" s="283"/>
      <c r="D158" s="281" t="s">
        <v>72</v>
      </c>
      <c r="E158" s="287" t="s">
        <v>23</v>
      </c>
      <c r="F158" s="288"/>
      <c r="G158" s="288"/>
      <c r="H158" s="288"/>
      <c r="I158" s="288"/>
      <c r="J158" s="288"/>
      <c r="K158" s="288"/>
      <c r="L158" s="288"/>
      <c r="M158" s="288"/>
      <c r="N158" s="288"/>
      <c r="O158" s="288"/>
      <c r="P158" s="288"/>
      <c r="Q158" s="300"/>
    </row>
    <row r="159" spans="1:18" hidden="1">
      <c r="A159" s="284"/>
      <c r="B159" s="285"/>
      <c r="C159" s="286"/>
      <c r="D159" s="284"/>
      <c r="E159" s="238" t="s">
        <v>24</v>
      </c>
      <c r="F159" s="239" t="s">
        <v>16</v>
      </c>
      <c r="G159" s="239" t="s">
        <v>17</v>
      </c>
      <c r="H159" s="239" t="s">
        <v>18</v>
      </c>
      <c r="I159" s="239" t="s">
        <v>19</v>
      </c>
      <c r="J159" s="239" t="s">
        <v>20</v>
      </c>
      <c r="K159" s="239" t="s">
        <v>21</v>
      </c>
      <c r="L159" s="239" t="s">
        <v>11</v>
      </c>
      <c r="M159" s="261" t="s">
        <v>12</v>
      </c>
      <c r="N159" s="261" t="s">
        <v>13</v>
      </c>
      <c r="O159" s="261" t="s">
        <v>14</v>
      </c>
      <c r="P159" s="261" t="s">
        <v>15</v>
      </c>
      <c r="Q159" s="241" t="s">
        <v>75</v>
      </c>
    </row>
    <row r="160" spans="1:18" hidden="1">
      <c r="A160" s="290" t="s">
        <v>22</v>
      </c>
      <c r="B160" s="293" t="s">
        <v>79</v>
      </c>
      <c r="C160" s="296" t="s">
        <v>74</v>
      </c>
      <c r="D160" s="242" t="s">
        <v>0</v>
      </c>
      <c r="E160" s="8"/>
      <c r="F160" s="244"/>
      <c r="G160" s="244"/>
      <c r="H160" s="244"/>
      <c r="I160" s="244"/>
      <c r="J160" s="244"/>
      <c r="K160" s="244"/>
      <c r="L160" s="8"/>
      <c r="M160" s="8"/>
      <c r="N160" s="8"/>
      <c r="O160" s="8"/>
      <c r="P160" s="8"/>
      <c r="Q160" s="17">
        <f t="shared" ref="Q160" si="83">SUM(L160:P160)</f>
        <v>0</v>
      </c>
    </row>
    <row r="161" spans="1:17" hidden="1">
      <c r="A161" s="291"/>
      <c r="B161" s="294"/>
      <c r="C161" s="297"/>
      <c r="D161" s="245" t="s">
        <v>1</v>
      </c>
      <c r="E161" s="9"/>
      <c r="F161" s="246"/>
      <c r="G161" s="246"/>
      <c r="H161" s="246"/>
      <c r="I161" s="246"/>
      <c r="J161" s="246"/>
      <c r="K161" s="246"/>
      <c r="L161" s="9"/>
      <c r="M161" s="9"/>
      <c r="N161" s="9"/>
      <c r="O161" s="9"/>
      <c r="P161" s="9"/>
      <c r="Q161" s="10">
        <f>SUM(L161:P161)</f>
        <v>0</v>
      </c>
    </row>
    <row r="162" spans="1:17" hidden="1">
      <c r="A162" s="291"/>
      <c r="B162" s="294"/>
      <c r="C162" s="297"/>
      <c r="D162" s="245" t="s">
        <v>2</v>
      </c>
      <c r="E162" s="9"/>
      <c r="F162" s="246"/>
      <c r="G162" s="246"/>
      <c r="H162" s="246"/>
      <c r="I162" s="246"/>
      <c r="J162" s="246"/>
      <c r="K162" s="246"/>
      <c r="L162" s="9"/>
      <c r="M162" s="9"/>
      <c r="N162" s="9"/>
      <c r="O162" s="9"/>
      <c r="P162" s="9"/>
      <c r="Q162" s="10">
        <f t="shared" ref="Q162:Q165" si="84">SUM(L162:P162)</f>
        <v>0</v>
      </c>
    </row>
    <row r="163" spans="1:17" hidden="1">
      <c r="A163" s="291"/>
      <c r="B163" s="294"/>
      <c r="C163" s="297"/>
      <c r="D163" s="245" t="s">
        <v>3</v>
      </c>
      <c r="E163" s="9"/>
      <c r="F163" s="246"/>
      <c r="G163" s="246"/>
      <c r="H163" s="246"/>
      <c r="I163" s="246"/>
      <c r="J163" s="246"/>
      <c r="K163" s="246"/>
      <c r="L163" s="9"/>
      <c r="M163" s="9"/>
      <c r="N163" s="9"/>
      <c r="O163" s="9"/>
      <c r="P163" s="9"/>
      <c r="Q163" s="10">
        <f t="shared" si="84"/>
        <v>0</v>
      </c>
    </row>
    <row r="164" spans="1:17" hidden="1">
      <c r="A164" s="291"/>
      <c r="B164" s="294"/>
      <c r="C164" s="297"/>
      <c r="D164" s="245" t="s">
        <v>4</v>
      </c>
      <c r="E164" s="9"/>
      <c r="F164" s="246"/>
      <c r="G164" s="246"/>
      <c r="H164" s="246"/>
      <c r="I164" s="246"/>
      <c r="J164" s="246"/>
      <c r="K164" s="246"/>
      <c r="L164" s="9"/>
      <c r="M164" s="9"/>
      <c r="N164" s="9"/>
      <c r="O164" s="9"/>
      <c r="P164" s="9"/>
      <c r="Q164" s="10">
        <f t="shared" si="84"/>
        <v>0</v>
      </c>
    </row>
    <row r="165" spans="1:17" hidden="1">
      <c r="A165" s="291"/>
      <c r="B165" s="294"/>
      <c r="C165" s="297"/>
      <c r="D165" s="247" t="s">
        <v>5</v>
      </c>
      <c r="E165" s="13"/>
      <c r="F165" s="271"/>
      <c r="G165" s="271"/>
      <c r="H165" s="271"/>
      <c r="I165" s="271"/>
      <c r="J165" s="271"/>
      <c r="K165" s="271"/>
      <c r="L165" s="13"/>
      <c r="M165" s="13"/>
      <c r="N165" s="13"/>
      <c r="O165" s="13"/>
      <c r="P165" s="13"/>
      <c r="Q165" s="10">
        <f t="shared" si="84"/>
        <v>0</v>
      </c>
    </row>
    <row r="166" spans="1:17" hidden="1">
      <c r="A166" s="291"/>
      <c r="B166" s="294"/>
      <c r="C166" s="297"/>
      <c r="D166" s="263" t="s">
        <v>75</v>
      </c>
      <c r="E166" s="122">
        <f>SUM(E160:E165)</f>
        <v>0</v>
      </c>
      <c r="F166" s="264">
        <f t="shared" ref="F166:K166" si="85">SUM(F160:F165)</f>
        <v>0</v>
      </c>
      <c r="G166" s="264">
        <f t="shared" si="85"/>
        <v>0</v>
      </c>
      <c r="H166" s="264">
        <f t="shared" si="85"/>
        <v>0</v>
      </c>
      <c r="I166" s="264">
        <f t="shared" si="85"/>
        <v>0</v>
      </c>
      <c r="J166" s="264">
        <f t="shared" si="85"/>
        <v>0</v>
      </c>
      <c r="K166" s="264">
        <f t="shared" si="85"/>
        <v>0</v>
      </c>
      <c r="L166" s="122">
        <f>SUM(L160:L165)</f>
        <v>0</v>
      </c>
      <c r="M166" s="122">
        <f t="shared" ref="M166:P166" si="86">SUM(M160:M165)</f>
        <v>0</v>
      </c>
      <c r="N166" s="122">
        <f t="shared" si="86"/>
        <v>0</v>
      </c>
      <c r="O166" s="122">
        <f t="shared" si="86"/>
        <v>0</v>
      </c>
      <c r="P166" s="122">
        <f t="shared" si="86"/>
        <v>0</v>
      </c>
      <c r="Q166" s="123">
        <f t="shared" ref="Q166" si="87">AVERAGE(L166:P166)</f>
        <v>0</v>
      </c>
    </row>
    <row r="167" spans="1:17" hidden="1">
      <c r="A167" s="291"/>
      <c r="B167" s="294"/>
      <c r="C167" s="297" t="s">
        <v>76</v>
      </c>
      <c r="D167" s="275" t="s">
        <v>6</v>
      </c>
      <c r="E167" s="11"/>
      <c r="F167" s="253"/>
      <c r="G167" s="253"/>
      <c r="H167" s="253"/>
      <c r="I167" s="253"/>
      <c r="J167" s="253"/>
      <c r="K167" s="253"/>
      <c r="L167" s="11"/>
      <c r="M167" s="11"/>
      <c r="N167" s="11"/>
      <c r="O167" s="11"/>
      <c r="P167" s="11"/>
      <c r="Q167" s="18">
        <f t="shared" ref="Q167:Q171" si="88">SUM(L167:P167)</f>
        <v>0</v>
      </c>
    </row>
    <row r="168" spans="1:17" hidden="1">
      <c r="A168" s="291"/>
      <c r="B168" s="294"/>
      <c r="C168" s="297"/>
      <c r="D168" s="245" t="s">
        <v>7</v>
      </c>
      <c r="E168" s="9"/>
      <c r="F168" s="246"/>
      <c r="G168" s="246"/>
      <c r="H168" s="246"/>
      <c r="I168" s="246"/>
      <c r="J168" s="246"/>
      <c r="K168" s="246"/>
      <c r="L168" s="9"/>
      <c r="M168" s="9"/>
      <c r="N168" s="9"/>
      <c r="O168" s="9"/>
      <c r="P168" s="9"/>
      <c r="Q168" s="10">
        <f t="shared" si="88"/>
        <v>0</v>
      </c>
    </row>
    <row r="169" spans="1:17" hidden="1">
      <c r="A169" s="291"/>
      <c r="B169" s="294"/>
      <c r="C169" s="297"/>
      <c r="D169" s="245" t="s">
        <v>8</v>
      </c>
      <c r="E169" s="9"/>
      <c r="F169" s="246"/>
      <c r="G169" s="246"/>
      <c r="H169" s="246"/>
      <c r="I169" s="246"/>
      <c r="J169" s="246"/>
      <c r="K169" s="246"/>
      <c r="L169" s="9"/>
      <c r="M169" s="9"/>
      <c r="N169" s="9"/>
      <c r="O169" s="9"/>
      <c r="P169" s="9"/>
      <c r="Q169" s="10">
        <f t="shared" si="88"/>
        <v>0</v>
      </c>
    </row>
    <row r="170" spans="1:17" hidden="1">
      <c r="A170" s="291"/>
      <c r="B170" s="294"/>
      <c r="C170" s="297"/>
      <c r="D170" s="245" t="s">
        <v>9</v>
      </c>
      <c r="E170" s="9"/>
      <c r="F170" s="246"/>
      <c r="G170" s="246"/>
      <c r="H170" s="246"/>
      <c r="I170" s="246"/>
      <c r="J170" s="246"/>
      <c r="K170" s="246"/>
      <c r="L170" s="9"/>
      <c r="M170" s="9"/>
      <c r="N170" s="9"/>
      <c r="O170" s="9"/>
      <c r="P170" s="9"/>
      <c r="Q170" s="10">
        <f t="shared" si="88"/>
        <v>0</v>
      </c>
    </row>
    <row r="171" spans="1:17" hidden="1">
      <c r="A171" s="291"/>
      <c r="B171" s="294"/>
      <c r="C171" s="297"/>
      <c r="D171" s="247" t="s">
        <v>10</v>
      </c>
      <c r="E171" s="13"/>
      <c r="F171" s="271"/>
      <c r="G171" s="271"/>
      <c r="H171" s="271"/>
      <c r="I171" s="271"/>
      <c r="J171" s="271"/>
      <c r="K171" s="271"/>
      <c r="L171" s="13"/>
      <c r="M171" s="13"/>
      <c r="N171" s="13"/>
      <c r="O171" s="13"/>
      <c r="P171" s="13"/>
      <c r="Q171" s="19">
        <f t="shared" si="88"/>
        <v>0</v>
      </c>
    </row>
    <row r="172" spans="1:17" hidden="1">
      <c r="A172" s="291"/>
      <c r="B172" s="294"/>
      <c r="C172" s="298"/>
      <c r="D172" s="263" t="s">
        <v>75</v>
      </c>
      <c r="E172" s="122">
        <f>SUM(E167:E171)</f>
        <v>0</v>
      </c>
      <c r="F172" s="264">
        <f t="shared" ref="F172:K172" si="89">SUM(F167:F171)</f>
        <v>0</v>
      </c>
      <c r="G172" s="264">
        <f t="shared" si="89"/>
        <v>0</v>
      </c>
      <c r="H172" s="264">
        <f t="shared" si="89"/>
        <v>0</v>
      </c>
      <c r="I172" s="264">
        <f t="shared" si="89"/>
        <v>0</v>
      </c>
      <c r="J172" s="264">
        <f t="shared" si="89"/>
        <v>0</v>
      </c>
      <c r="K172" s="264">
        <f t="shared" si="89"/>
        <v>0</v>
      </c>
      <c r="L172" s="122">
        <f>SUM(L167:L171)</f>
        <v>0</v>
      </c>
      <c r="M172" s="122">
        <f t="shared" ref="M172:P172" si="90">SUM(M167:M171)</f>
        <v>0</v>
      </c>
      <c r="N172" s="122">
        <f t="shared" si="90"/>
        <v>0</v>
      </c>
      <c r="O172" s="122">
        <f t="shared" si="90"/>
        <v>0</v>
      </c>
      <c r="P172" s="122">
        <f t="shared" si="90"/>
        <v>0</v>
      </c>
      <c r="Q172" s="123">
        <f t="shared" ref="Q172:Q173" si="91">AVERAGE(L172:P172)</f>
        <v>0</v>
      </c>
    </row>
    <row r="173" spans="1:17" hidden="1">
      <c r="A173" s="291"/>
      <c r="B173" s="295"/>
      <c r="C173" s="299" t="s">
        <v>75</v>
      </c>
      <c r="D173" s="299"/>
      <c r="E173" s="15">
        <f>E166+E172</f>
        <v>0</v>
      </c>
      <c r="F173" s="266">
        <f t="shared" ref="F173:K173" si="92">F166+F172</f>
        <v>0</v>
      </c>
      <c r="G173" s="266">
        <f t="shared" si="92"/>
        <v>0</v>
      </c>
      <c r="H173" s="266">
        <f t="shared" si="92"/>
        <v>0</v>
      </c>
      <c r="I173" s="266">
        <f t="shared" si="92"/>
        <v>0</v>
      </c>
      <c r="J173" s="266">
        <f t="shared" si="92"/>
        <v>0</v>
      </c>
      <c r="K173" s="266">
        <f t="shared" si="92"/>
        <v>0</v>
      </c>
      <c r="L173" s="15">
        <f>L166+L172</f>
        <v>0</v>
      </c>
      <c r="M173" s="15">
        <f t="shared" ref="M173:P173" si="93">M166+M172</f>
        <v>0</v>
      </c>
      <c r="N173" s="15">
        <f t="shared" si="93"/>
        <v>0</v>
      </c>
      <c r="O173" s="15">
        <f t="shared" si="93"/>
        <v>0</v>
      </c>
      <c r="P173" s="15">
        <f t="shared" si="93"/>
        <v>0</v>
      </c>
      <c r="Q173" s="15">
        <f t="shared" si="91"/>
        <v>0</v>
      </c>
    </row>
    <row r="174" spans="1:17" s="258" customFormat="1" hidden="1">
      <c r="A174" s="267"/>
      <c r="B174" s="268"/>
      <c r="C174" s="269"/>
      <c r="D174" s="269"/>
      <c r="E174" s="129"/>
      <c r="F174" s="269"/>
      <c r="G174" s="269"/>
      <c r="H174" s="269"/>
      <c r="I174" s="269"/>
      <c r="J174" s="269"/>
      <c r="K174" s="269"/>
      <c r="L174" s="129"/>
      <c r="M174" s="129"/>
      <c r="N174" s="129"/>
      <c r="O174" s="129"/>
      <c r="P174" s="129"/>
      <c r="Q174" s="129"/>
    </row>
  </sheetData>
  <mergeCells count="72">
    <mergeCell ref="A139:C140"/>
    <mergeCell ref="D139:D140"/>
    <mergeCell ref="E139:Q139"/>
    <mergeCell ref="A141:A155"/>
    <mergeCell ref="B141:B155"/>
    <mergeCell ref="C141:C148"/>
    <mergeCell ref="C149:C154"/>
    <mergeCell ref="C155:D155"/>
    <mergeCell ref="A81:C82"/>
    <mergeCell ref="D81:D82"/>
    <mergeCell ref="E81:Q81"/>
    <mergeCell ref="A83:A97"/>
    <mergeCell ref="B83:B97"/>
    <mergeCell ref="C83:C90"/>
    <mergeCell ref="C91:C96"/>
    <mergeCell ref="C97:D97"/>
    <mergeCell ref="A62:C63"/>
    <mergeCell ref="D62:D63"/>
    <mergeCell ref="E62:Q62"/>
    <mergeCell ref="A64:A78"/>
    <mergeCell ref="B64:B78"/>
    <mergeCell ref="C64:C71"/>
    <mergeCell ref="C72:C77"/>
    <mergeCell ref="C78:D78"/>
    <mergeCell ref="A101:C102"/>
    <mergeCell ref="D101:D102"/>
    <mergeCell ref="E101:Q101"/>
    <mergeCell ref="A103:A117"/>
    <mergeCell ref="B103:B117"/>
    <mergeCell ref="C103:C110"/>
    <mergeCell ref="C111:C116"/>
    <mergeCell ref="C117:D117"/>
    <mergeCell ref="A43:C44"/>
    <mergeCell ref="D43:D44"/>
    <mergeCell ref="E43:Q43"/>
    <mergeCell ref="A45:A59"/>
    <mergeCell ref="B45:B59"/>
    <mergeCell ref="C45:C52"/>
    <mergeCell ref="C53:C58"/>
    <mergeCell ref="C59:D59"/>
    <mergeCell ref="A2:C3"/>
    <mergeCell ref="D2:D3"/>
    <mergeCell ref="E2:Q2"/>
    <mergeCell ref="A4:A18"/>
    <mergeCell ref="B4:B18"/>
    <mergeCell ref="C4:C11"/>
    <mergeCell ref="C12:C17"/>
    <mergeCell ref="C18:D18"/>
    <mergeCell ref="A120:C121"/>
    <mergeCell ref="D120:D121"/>
    <mergeCell ref="E120:Q120"/>
    <mergeCell ref="A122:A136"/>
    <mergeCell ref="B122:B136"/>
    <mergeCell ref="C122:C129"/>
    <mergeCell ref="C130:C135"/>
    <mergeCell ref="C136:D136"/>
    <mergeCell ref="A158:C159"/>
    <mergeCell ref="D158:D159"/>
    <mergeCell ref="E158:Q158"/>
    <mergeCell ref="A160:A173"/>
    <mergeCell ref="B160:B173"/>
    <mergeCell ref="C160:C166"/>
    <mergeCell ref="C167:C172"/>
    <mergeCell ref="C173:D173"/>
    <mergeCell ref="A23:C24"/>
    <mergeCell ref="D23:D24"/>
    <mergeCell ref="E23:Q23"/>
    <mergeCell ref="A25:A39"/>
    <mergeCell ref="B25:B39"/>
    <mergeCell ref="C25:C32"/>
    <mergeCell ref="C33:C38"/>
    <mergeCell ref="C39:D39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B1:U23"/>
  <sheetViews>
    <sheetView zoomScale="80" zoomScaleNormal="80" zoomScaleSheetLayoutView="90" workbookViewId="0">
      <selection activeCell="G12" sqref="G12"/>
    </sheetView>
  </sheetViews>
  <sheetFormatPr defaultColWidth="9.140625" defaultRowHeight="15"/>
  <cols>
    <col min="1" max="1" width="2" style="22" customWidth="1"/>
    <col min="2" max="3" width="2.5703125" style="22" customWidth="1"/>
    <col min="4" max="4" width="5.5703125" style="22" bestFit="1" customWidth="1"/>
    <col min="5" max="5" width="9.42578125" style="22" bestFit="1" customWidth="1"/>
    <col min="6" max="7" width="10.85546875" style="22" bestFit="1" customWidth="1"/>
    <col min="8" max="9" width="14.5703125" style="22" bestFit="1" customWidth="1"/>
    <col min="10" max="12" width="13.140625" style="22" bestFit="1" customWidth="1"/>
    <col min="13" max="13" width="11" style="22" bestFit="1" customWidth="1"/>
    <col min="14" max="14" width="10.85546875" style="22" bestFit="1" customWidth="1"/>
    <col min="15" max="18" width="13.140625" style="22" customWidth="1"/>
    <col min="19" max="19" width="13.42578125" style="22" customWidth="1"/>
    <col min="20" max="20" width="9.140625" style="22"/>
    <col min="21" max="21" width="10.28515625" style="22" bestFit="1" customWidth="1"/>
    <col min="22" max="16384" width="9.140625" style="22"/>
  </cols>
  <sheetData>
    <row r="1" spans="2:21" ht="23.25">
      <c r="B1" s="326" t="s">
        <v>27</v>
      </c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</row>
    <row r="2" spans="2:21">
      <c r="S2" s="23" t="s">
        <v>28</v>
      </c>
    </row>
    <row r="3" spans="2:21" ht="21" customHeight="1">
      <c r="B3" s="327" t="s">
        <v>29</v>
      </c>
      <c r="C3" s="328"/>
      <c r="D3" s="328"/>
      <c r="E3" s="329"/>
      <c r="F3" s="336" t="s">
        <v>30</v>
      </c>
      <c r="G3" s="337"/>
      <c r="H3" s="337"/>
      <c r="I3" s="337"/>
      <c r="J3" s="337"/>
      <c r="K3" s="337"/>
      <c r="L3" s="338"/>
      <c r="M3" s="339" t="s">
        <v>31</v>
      </c>
      <c r="N3" s="340"/>
      <c r="O3" s="327" t="s">
        <v>32</v>
      </c>
      <c r="P3" s="328"/>
      <c r="Q3" s="328"/>
      <c r="R3" s="341"/>
      <c r="S3" s="342" t="s">
        <v>33</v>
      </c>
    </row>
    <row r="4" spans="2:21" ht="21" customHeight="1">
      <c r="B4" s="330"/>
      <c r="C4" s="331"/>
      <c r="D4" s="331"/>
      <c r="E4" s="332"/>
      <c r="F4" s="345" t="s">
        <v>34</v>
      </c>
      <c r="G4" s="347" t="s">
        <v>35</v>
      </c>
      <c r="H4" s="347" t="s">
        <v>36</v>
      </c>
      <c r="I4" s="347" t="s">
        <v>37</v>
      </c>
      <c r="J4" s="350" t="s">
        <v>38</v>
      </c>
      <c r="K4" s="350" t="s">
        <v>39</v>
      </c>
      <c r="L4" s="350" t="s">
        <v>40</v>
      </c>
      <c r="M4" s="24" t="s">
        <v>41</v>
      </c>
      <c r="N4" s="25" t="s">
        <v>42</v>
      </c>
      <c r="O4" s="26" t="s">
        <v>43</v>
      </c>
      <c r="P4" s="128" t="s">
        <v>44</v>
      </c>
      <c r="Q4" s="128" t="s">
        <v>45</v>
      </c>
      <c r="R4" s="25" t="s">
        <v>46</v>
      </c>
      <c r="S4" s="343"/>
    </row>
    <row r="5" spans="2:21" ht="12.75" customHeight="1" thickBot="1">
      <c r="B5" s="333"/>
      <c r="C5" s="334"/>
      <c r="D5" s="334"/>
      <c r="E5" s="335"/>
      <c r="F5" s="346"/>
      <c r="G5" s="348"/>
      <c r="H5" s="349"/>
      <c r="I5" s="349"/>
      <c r="J5" s="349"/>
      <c r="K5" s="349"/>
      <c r="L5" s="349"/>
      <c r="M5" s="27"/>
      <c r="N5" s="28"/>
      <c r="O5" s="29"/>
      <c r="P5" s="30"/>
      <c r="Q5" s="30"/>
      <c r="R5" s="31"/>
      <c r="S5" s="344"/>
    </row>
    <row r="6" spans="2:21" ht="32.25" customHeight="1">
      <c r="B6" s="313"/>
      <c r="C6" s="313"/>
      <c r="D6" s="315" t="s">
        <v>47</v>
      </c>
      <c r="E6" s="32" t="s">
        <v>48</v>
      </c>
      <c r="F6" s="33">
        <v>3980</v>
      </c>
      <c r="G6" s="34">
        <f>H6*0.85</f>
        <v>3629.5</v>
      </c>
      <c r="H6" s="34">
        <f>'[2]호봉표(18년)'!C5</f>
        <v>4270</v>
      </c>
      <c r="I6" s="34">
        <f>'[2]호봉표(18년)'!C11</f>
        <v>5240</v>
      </c>
      <c r="J6" s="35">
        <f>'[2]호봉표(18년)'!J5</f>
        <v>6030</v>
      </c>
      <c r="K6" s="35">
        <f>'[2]호봉표(18년)'!Q5</f>
        <v>7905</v>
      </c>
      <c r="L6" s="36">
        <f>'[2]호봉표(18년)'!X5</f>
        <v>10400</v>
      </c>
      <c r="M6" s="37">
        <f>H9</f>
        <v>4970</v>
      </c>
      <c r="N6" s="36">
        <f>I9</f>
        <v>5940</v>
      </c>
      <c r="O6" s="33">
        <v>9000</v>
      </c>
      <c r="P6" s="34">
        <v>18000</v>
      </c>
      <c r="Q6" s="34">
        <v>30000</v>
      </c>
      <c r="R6" s="38">
        <v>40000</v>
      </c>
      <c r="S6" s="39"/>
      <c r="U6" s="40">
        <f>'[2]임금표(2017)'!I6*1.04</f>
        <v>5241.6000000000004</v>
      </c>
    </row>
    <row r="7" spans="2:21" ht="32.25" customHeight="1">
      <c r="B7" s="314"/>
      <c r="C7" s="314"/>
      <c r="D7" s="315"/>
      <c r="E7" s="41" t="s">
        <v>49</v>
      </c>
      <c r="F7" s="42"/>
      <c r="G7" s="43">
        <v>350</v>
      </c>
      <c r="H7" s="43">
        <v>350</v>
      </c>
      <c r="I7" s="43">
        <v>350</v>
      </c>
      <c r="J7" s="44">
        <v>500</v>
      </c>
      <c r="K7" s="44">
        <v>700</v>
      </c>
      <c r="L7" s="45">
        <v>1000</v>
      </c>
      <c r="M7" s="46"/>
      <c r="N7" s="45"/>
      <c r="O7" s="42"/>
      <c r="P7" s="43"/>
      <c r="Q7" s="43"/>
      <c r="R7" s="47"/>
      <c r="S7" s="127"/>
    </row>
    <row r="8" spans="2:21" ht="32.25" customHeight="1">
      <c r="B8" s="314"/>
      <c r="C8" s="314"/>
      <c r="D8" s="316"/>
      <c r="E8" s="48" t="s">
        <v>50</v>
      </c>
      <c r="F8" s="49"/>
      <c r="G8" s="50">
        <v>350</v>
      </c>
      <c r="H8" s="50">
        <v>350</v>
      </c>
      <c r="I8" s="50">
        <v>350</v>
      </c>
      <c r="J8" s="51">
        <v>500</v>
      </c>
      <c r="K8" s="51">
        <v>700</v>
      </c>
      <c r="L8" s="52">
        <v>1000</v>
      </c>
      <c r="M8" s="53"/>
      <c r="N8" s="52"/>
      <c r="O8" s="54"/>
      <c r="P8" s="55"/>
      <c r="Q8" s="55"/>
      <c r="R8" s="56"/>
      <c r="S8" s="57"/>
      <c r="U8" s="58"/>
    </row>
    <row r="9" spans="2:21" ht="32.25" customHeight="1">
      <c r="B9" s="314"/>
      <c r="C9" s="314"/>
      <c r="D9" s="317"/>
      <c r="E9" s="126" t="s">
        <v>51</v>
      </c>
      <c r="F9" s="42">
        <f t="shared" ref="F9:R9" si="0">SUM(F6:F8)</f>
        <v>3980</v>
      </c>
      <c r="G9" s="43">
        <f t="shared" si="0"/>
        <v>4329.5</v>
      </c>
      <c r="H9" s="43">
        <f t="shared" si="0"/>
        <v>4970</v>
      </c>
      <c r="I9" s="43">
        <f t="shared" ref="I9" si="1">SUM(I6:I8)</f>
        <v>5940</v>
      </c>
      <c r="J9" s="44">
        <f t="shared" si="0"/>
        <v>7030</v>
      </c>
      <c r="K9" s="44">
        <f t="shared" si="0"/>
        <v>9305</v>
      </c>
      <c r="L9" s="45">
        <f>SUM(L6:L8)</f>
        <v>12400</v>
      </c>
      <c r="M9" s="46">
        <f t="shared" si="0"/>
        <v>4970</v>
      </c>
      <c r="N9" s="45">
        <f t="shared" si="0"/>
        <v>5940</v>
      </c>
      <c r="O9" s="42">
        <f t="shared" si="0"/>
        <v>9000</v>
      </c>
      <c r="P9" s="43">
        <f t="shared" si="0"/>
        <v>18000</v>
      </c>
      <c r="Q9" s="43">
        <f t="shared" si="0"/>
        <v>30000</v>
      </c>
      <c r="R9" s="47">
        <f t="shared" si="0"/>
        <v>40000</v>
      </c>
      <c r="S9" s="127"/>
    </row>
    <row r="10" spans="2:21" ht="32.25" customHeight="1">
      <c r="B10" s="314"/>
      <c r="C10" s="314"/>
      <c r="D10" s="318" t="s">
        <v>52</v>
      </c>
      <c r="E10" s="319"/>
      <c r="F10" s="59">
        <f>F9/209*20*1.5</f>
        <v>571.29186602870823</v>
      </c>
      <c r="G10" s="60">
        <f>G9/209*20*1.5</f>
        <v>621.45933014354068</v>
      </c>
      <c r="H10" s="60">
        <f t="shared" ref="H10:N10" si="2">H9/209*20*1.5</f>
        <v>713.3971291866028</v>
      </c>
      <c r="I10" s="60">
        <f t="shared" si="2"/>
        <v>852.63157894736844</v>
      </c>
      <c r="J10" s="61">
        <f t="shared" si="2"/>
        <v>1009.090909090909</v>
      </c>
      <c r="K10" s="61">
        <f t="shared" si="2"/>
        <v>1335.6459330143539</v>
      </c>
      <c r="L10" s="62">
        <f t="shared" si="2"/>
        <v>1779.9043062200958</v>
      </c>
      <c r="M10" s="63">
        <f t="shared" si="2"/>
        <v>713.3971291866028</v>
      </c>
      <c r="N10" s="62">
        <f t="shared" si="2"/>
        <v>852.63157894736844</v>
      </c>
      <c r="O10" s="64"/>
      <c r="P10" s="60"/>
      <c r="Q10" s="60"/>
      <c r="R10" s="65"/>
      <c r="S10" s="66" t="s">
        <v>53</v>
      </c>
    </row>
    <row r="11" spans="2:21" ht="32.25" customHeight="1">
      <c r="B11" s="314"/>
      <c r="C11" s="320" t="s">
        <v>54</v>
      </c>
      <c r="D11" s="321"/>
      <c r="E11" s="322"/>
      <c r="F11" s="67">
        <f>F9+F10</f>
        <v>4551.2918660287087</v>
      </c>
      <c r="G11" s="68">
        <f t="shared" ref="G11:R11" si="3">G9+G10</f>
        <v>4950.9593301435407</v>
      </c>
      <c r="H11" s="68">
        <f t="shared" si="3"/>
        <v>5683.3971291866028</v>
      </c>
      <c r="I11" s="68">
        <f t="shared" si="3"/>
        <v>6792.6315789473683</v>
      </c>
      <c r="J11" s="69">
        <f t="shared" si="3"/>
        <v>8039.090909090909</v>
      </c>
      <c r="K11" s="69">
        <f t="shared" si="3"/>
        <v>10640.645933014353</v>
      </c>
      <c r="L11" s="70">
        <f t="shared" si="3"/>
        <v>14179.904306220096</v>
      </c>
      <c r="M11" s="71">
        <f t="shared" si="3"/>
        <v>5683.3971291866028</v>
      </c>
      <c r="N11" s="70">
        <f t="shared" si="3"/>
        <v>6792.6315789473683</v>
      </c>
      <c r="O11" s="67">
        <f t="shared" si="3"/>
        <v>9000</v>
      </c>
      <c r="P11" s="68">
        <f t="shared" si="3"/>
        <v>18000</v>
      </c>
      <c r="Q11" s="68">
        <f t="shared" si="3"/>
        <v>30000</v>
      </c>
      <c r="R11" s="72">
        <f t="shared" si="3"/>
        <v>40000</v>
      </c>
      <c r="S11" s="73"/>
    </row>
    <row r="12" spans="2:21" ht="32.25" customHeight="1">
      <c r="B12" s="314"/>
      <c r="C12" s="323"/>
      <c r="D12" s="324" t="s">
        <v>55</v>
      </c>
      <c r="E12" s="325"/>
      <c r="F12" s="74">
        <f>F9*17.5%</f>
        <v>696.5</v>
      </c>
      <c r="G12" s="75">
        <f t="shared" ref="G12:R12" si="4">G9*17.5%</f>
        <v>757.66249999999991</v>
      </c>
      <c r="H12" s="75">
        <f t="shared" si="4"/>
        <v>869.75</v>
      </c>
      <c r="I12" s="75">
        <f t="shared" si="4"/>
        <v>1039.5</v>
      </c>
      <c r="J12" s="76">
        <f t="shared" si="4"/>
        <v>1230.25</v>
      </c>
      <c r="K12" s="76">
        <f t="shared" si="4"/>
        <v>1628.375</v>
      </c>
      <c r="L12" s="77">
        <f t="shared" si="4"/>
        <v>2170</v>
      </c>
      <c r="M12" s="78">
        <f t="shared" si="4"/>
        <v>869.75</v>
      </c>
      <c r="N12" s="77">
        <f t="shared" si="4"/>
        <v>1039.5</v>
      </c>
      <c r="O12" s="74">
        <f t="shared" si="4"/>
        <v>1575</v>
      </c>
      <c r="P12" s="75">
        <f t="shared" si="4"/>
        <v>3150</v>
      </c>
      <c r="Q12" s="75">
        <f t="shared" si="4"/>
        <v>5250</v>
      </c>
      <c r="R12" s="77">
        <f t="shared" si="4"/>
        <v>7000</v>
      </c>
      <c r="S12" s="79" t="s">
        <v>56</v>
      </c>
    </row>
    <row r="13" spans="2:21" ht="32.25" customHeight="1">
      <c r="B13" s="314"/>
      <c r="C13" s="314"/>
      <c r="D13" s="306" t="s">
        <v>57</v>
      </c>
      <c r="E13" s="307"/>
      <c r="F13" s="80">
        <f>F9*3%</f>
        <v>119.39999999999999</v>
      </c>
      <c r="G13" s="81">
        <f t="shared" ref="G13:R13" si="5">G9*3%</f>
        <v>129.88499999999999</v>
      </c>
      <c r="H13" s="81">
        <f t="shared" si="5"/>
        <v>149.1</v>
      </c>
      <c r="I13" s="81">
        <f t="shared" si="5"/>
        <v>178.2</v>
      </c>
      <c r="J13" s="82">
        <f t="shared" si="5"/>
        <v>210.9</v>
      </c>
      <c r="K13" s="82">
        <f t="shared" si="5"/>
        <v>279.14999999999998</v>
      </c>
      <c r="L13" s="83">
        <f t="shared" si="5"/>
        <v>372</v>
      </c>
      <c r="M13" s="84">
        <f t="shared" si="5"/>
        <v>149.1</v>
      </c>
      <c r="N13" s="83">
        <f t="shared" si="5"/>
        <v>178.2</v>
      </c>
      <c r="O13" s="80">
        <f t="shared" si="5"/>
        <v>270</v>
      </c>
      <c r="P13" s="81">
        <f t="shared" si="5"/>
        <v>540</v>
      </c>
      <c r="Q13" s="81">
        <f t="shared" si="5"/>
        <v>900</v>
      </c>
      <c r="R13" s="83">
        <f t="shared" si="5"/>
        <v>1200</v>
      </c>
      <c r="S13" s="85" t="s">
        <v>58</v>
      </c>
    </row>
    <row r="14" spans="2:21" ht="32.25" customHeight="1">
      <c r="B14" s="314"/>
      <c r="C14" s="314"/>
      <c r="D14" s="308" t="s">
        <v>59</v>
      </c>
      <c r="E14" s="309"/>
      <c r="F14" s="54">
        <f>F9*1%</f>
        <v>39.800000000000004</v>
      </c>
      <c r="G14" s="55">
        <f t="shared" ref="G14:R14" si="6">G9*1%</f>
        <v>43.295000000000002</v>
      </c>
      <c r="H14" s="55">
        <f t="shared" si="6"/>
        <v>49.7</v>
      </c>
      <c r="I14" s="55">
        <f t="shared" si="6"/>
        <v>59.4</v>
      </c>
      <c r="J14" s="51">
        <f t="shared" si="6"/>
        <v>70.3</v>
      </c>
      <c r="K14" s="51">
        <f t="shared" si="6"/>
        <v>93.05</v>
      </c>
      <c r="L14" s="52">
        <f t="shared" si="6"/>
        <v>124</v>
      </c>
      <c r="M14" s="86">
        <f t="shared" si="6"/>
        <v>49.7</v>
      </c>
      <c r="N14" s="52">
        <f t="shared" si="6"/>
        <v>59.4</v>
      </c>
      <c r="O14" s="54">
        <f t="shared" si="6"/>
        <v>90</v>
      </c>
      <c r="P14" s="55">
        <f t="shared" si="6"/>
        <v>180</v>
      </c>
      <c r="Q14" s="55">
        <f t="shared" si="6"/>
        <v>300</v>
      </c>
      <c r="R14" s="52">
        <f t="shared" si="6"/>
        <v>400</v>
      </c>
      <c r="S14" s="87" t="s">
        <v>60</v>
      </c>
    </row>
    <row r="15" spans="2:21" ht="32.25" customHeight="1">
      <c r="B15" s="314"/>
      <c r="C15" s="310" t="s">
        <v>61</v>
      </c>
      <c r="D15" s="311"/>
      <c r="E15" s="312"/>
      <c r="F15" s="88">
        <f>SUM(F12:F14)</f>
        <v>855.69999999999993</v>
      </c>
      <c r="G15" s="89">
        <f t="shared" ref="G15:R15" si="7">SUM(G12:G14)</f>
        <v>930.84249999999986</v>
      </c>
      <c r="H15" s="89">
        <f t="shared" si="7"/>
        <v>1068.55</v>
      </c>
      <c r="I15" s="89">
        <f t="shared" si="7"/>
        <v>1277.1000000000001</v>
      </c>
      <c r="J15" s="90">
        <f t="shared" si="7"/>
        <v>1511.45</v>
      </c>
      <c r="K15" s="90">
        <f t="shared" si="7"/>
        <v>2000.575</v>
      </c>
      <c r="L15" s="91">
        <f t="shared" si="7"/>
        <v>2666</v>
      </c>
      <c r="M15" s="92">
        <f t="shared" si="7"/>
        <v>1068.55</v>
      </c>
      <c r="N15" s="91">
        <f t="shared" si="7"/>
        <v>1277.1000000000001</v>
      </c>
      <c r="O15" s="88">
        <f t="shared" si="7"/>
        <v>1935</v>
      </c>
      <c r="P15" s="89">
        <f t="shared" si="7"/>
        <v>3870</v>
      </c>
      <c r="Q15" s="89">
        <f t="shared" si="7"/>
        <v>6450</v>
      </c>
      <c r="R15" s="93">
        <f t="shared" si="7"/>
        <v>8600</v>
      </c>
      <c r="S15" s="94"/>
    </row>
    <row r="16" spans="2:21" ht="32.25" customHeight="1">
      <c r="B16" s="310" t="s">
        <v>62</v>
      </c>
      <c r="C16" s="302"/>
      <c r="D16" s="302"/>
      <c r="E16" s="303"/>
      <c r="F16" s="95">
        <f>F9+F10+F15</f>
        <v>5406.9918660287085</v>
      </c>
      <c r="G16" s="96">
        <f t="shared" ref="G16:R16" si="8">G9+G10+G15</f>
        <v>5881.8018301435404</v>
      </c>
      <c r="H16" s="96">
        <f t="shared" si="8"/>
        <v>6751.947129186603</v>
      </c>
      <c r="I16" s="96">
        <f t="shared" si="8"/>
        <v>8069.7315789473687</v>
      </c>
      <c r="J16" s="97">
        <f t="shared" si="8"/>
        <v>9550.5409090909088</v>
      </c>
      <c r="K16" s="97">
        <f t="shared" si="8"/>
        <v>12641.220933014354</v>
      </c>
      <c r="L16" s="98">
        <f t="shared" si="8"/>
        <v>16845.904306220094</v>
      </c>
      <c r="M16" s="99">
        <f t="shared" si="8"/>
        <v>6751.947129186603</v>
      </c>
      <c r="N16" s="98">
        <f t="shared" si="8"/>
        <v>8069.7315789473687</v>
      </c>
      <c r="O16" s="95">
        <f t="shared" si="8"/>
        <v>10935</v>
      </c>
      <c r="P16" s="96">
        <f t="shared" si="8"/>
        <v>21870</v>
      </c>
      <c r="Q16" s="96">
        <f t="shared" si="8"/>
        <v>36450</v>
      </c>
      <c r="R16" s="100">
        <f t="shared" si="8"/>
        <v>48600</v>
      </c>
      <c r="S16" s="101"/>
    </row>
    <row r="17" spans="2:19" ht="32.25" customHeight="1">
      <c r="B17" s="301" t="s">
        <v>63</v>
      </c>
      <c r="C17" s="302"/>
      <c r="D17" s="302"/>
      <c r="E17" s="303"/>
      <c r="F17" s="102">
        <v>2000</v>
      </c>
      <c r="G17" s="103">
        <v>2000</v>
      </c>
      <c r="H17" s="103">
        <v>2000</v>
      </c>
      <c r="I17" s="103">
        <v>2000</v>
      </c>
      <c r="J17" s="104">
        <v>2000</v>
      </c>
      <c r="K17" s="104">
        <v>2000</v>
      </c>
      <c r="L17" s="105">
        <v>2000</v>
      </c>
      <c r="M17" s="106">
        <v>2000</v>
      </c>
      <c r="N17" s="105">
        <v>2000</v>
      </c>
      <c r="O17" s="107">
        <v>2000</v>
      </c>
      <c r="P17" s="103">
        <v>2000</v>
      </c>
      <c r="Q17" s="103">
        <v>2000</v>
      </c>
      <c r="R17" s="108">
        <v>2000</v>
      </c>
      <c r="S17" s="66" t="s">
        <v>64</v>
      </c>
    </row>
    <row r="18" spans="2:19" ht="32.25" customHeight="1">
      <c r="B18" s="301" t="s">
        <v>65</v>
      </c>
      <c r="C18" s="302"/>
      <c r="D18" s="302"/>
      <c r="E18" s="303"/>
      <c r="F18" s="64">
        <f>F6+500</f>
        <v>4480</v>
      </c>
      <c r="G18" s="60">
        <f t="shared" ref="G18:R18" si="9">G6+500</f>
        <v>4129.5</v>
      </c>
      <c r="H18" s="60">
        <f t="shared" si="9"/>
        <v>4770</v>
      </c>
      <c r="I18" s="60">
        <f t="shared" si="9"/>
        <v>5740</v>
      </c>
      <c r="J18" s="61">
        <f t="shared" si="9"/>
        <v>6530</v>
      </c>
      <c r="K18" s="61">
        <f t="shared" si="9"/>
        <v>8405</v>
      </c>
      <c r="L18" s="62">
        <f t="shared" si="9"/>
        <v>10900</v>
      </c>
      <c r="M18" s="63">
        <f t="shared" si="9"/>
        <v>5470</v>
      </c>
      <c r="N18" s="62">
        <f t="shared" si="9"/>
        <v>6440</v>
      </c>
      <c r="O18" s="64">
        <f t="shared" si="9"/>
        <v>9500</v>
      </c>
      <c r="P18" s="60">
        <f t="shared" si="9"/>
        <v>18500</v>
      </c>
      <c r="Q18" s="60">
        <f t="shared" si="9"/>
        <v>30500</v>
      </c>
      <c r="R18" s="65">
        <f t="shared" si="9"/>
        <v>40500</v>
      </c>
      <c r="S18" s="109" t="s">
        <v>66</v>
      </c>
    </row>
    <row r="19" spans="2:19" ht="32.25" customHeight="1">
      <c r="B19" s="301" t="s">
        <v>67</v>
      </c>
      <c r="C19" s="302"/>
      <c r="D19" s="302"/>
      <c r="E19" s="303"/>
      <c r="F19" s="110">
        <f>F16*12+F18</f>
        <v>69363.902392344506</v>
      </c>
      <c r="G19" s="111">
        <f t="shared" ref="G19:R19" si="10">G16*12+G18</f>
        <v>74711.121961722485</v>
      </c>
      <c r="H19" s="111">
        <f t="shared" si="10"/>
        <v>85793.365550239236</v>
      </c>
      <c r="I19" s="111">
        <f t="shared" si="10"/>
        <v>102576.77894736842</v>
      </c>
      <c r="J19" s="112">
        <f t="shared" si="10"/>
        <v>121136.49090909091</v>
      </c>
      <c r="K19" s="112">
        <f t="shared" si="10"/>
        <v>160099.65119617226</v>
      </c>
      <c r="L19" s="113">
        <f t="shared" si="10"/>
        <v>213050.85167464113</v>
      </c>
      <c r="M19" s="114">
        <f t="shared" si="10"/>
        <v>86493.365550239236</v>
      </c>
      <c r="N19" s="113">
        <f t="shared" si="10"/>
        <v>103276.77894736842</v>
      </c>
      <c r="O19" s="110">
        <f t="shared" si="10"/>
        <v>140720</v>
      </c>
      <c r="P19" s="111">
        <f t="shared" si="10"/>
        <v>280940</v>
      </c>
      <c r="Q19" s="111">
        <f t="shared" si="10"/>
        <v>467900</v>
      </c>
      <c r="R19" s="115">
        <f t="shared" si="10"/>
        <v>623700</v>
      </c>
      <c r="S19" s="101"/>
    </row>
    <row r="20" spans="2:19" ht="24.75" customHeight="1">
      <c r="B20" s="304" t="s">
        <v>68</v>
      </c>
      <c r="C20" s="304"/>
      <c r="D20" s="304"/>
      <c r="E20" s="304"/>
      <c r="F20" s="116">
        <f>F19*0.0495</f>
        <v>3433.5131684210533</v>
      </c>
      <c r="G20" s="116">
        <f t="shared" ref="G20:P20" si="11">G19*0.054</f>
        <v>4034.4005859330141</v>
      </c>
      <c r="H20" s="116">
        <f t="shared" si="11"/>
        <v>4632.8417397129188</v>
      </c>
      <c r="I20" s="116">
        <f t="shared" si="11"/>
        <v>5539.1460631578948</v>
      </c>
      <c r="J20" s="116">
        <f t="shared" si="11"/>
        <v>6541.3705090909089</v>
      </c>
      <c r="K20" s="116">
        <f t="shared" si="11"/>
        <v>8645.3811645933019</v>
      </c>
      <c r="L20" s="116">
        <f t="shared" si="11"/>
        <v>11504.745990430622</v>
      </c>
      <c r="M20" s="116">
        <f t="shared" si="11"/>
        <v>4670.6417397129189</v>
      </c>
      <c r="N20" s="116">
        <f t="shared" si="11"/>
        <v>5576.946063157895</v>
      </c>
      <c r="O20" s="116">
        <f t="shared" si="11"/>
        <v>7598.88</v>
      </c>
      <c r="P20" s="116">
        <f t="shared" si="11"/>
        <v>15170.76</v>
      </c>
      <c r="Q20" s="116">
        <f>Q19*0.054</f>
        <v>25266.6</v>
      </c>
      <c r="R20" s="116">
        <f t="shared" ref="R20" si="12">R19*0.054</f>
        <v>33679.800000000003</v>
      </c>
      <c r="S20" s="125"/>
    </row>
    <row r="21" spans="2:19" ht="24.75" customHeight="1">
      <c r="B21" s="305" t="s">
        <v>69</v>
      </c>
      <c r="C21" s="305"/>
      <c r="D21" s="305"/>
      <c r="E21" s="305"/>
      <c r="F21" s="117">
        <f>F19/22.7</f>
        <v>3055.678519486542</v>
      </c>
      <c r="G21" s="117">
        <f t="shared" ref="G21:R21" si="13">G19/22.7</f>
        <v>3291.2388529393165</v>
      </c>
      <c r="H21" s="117">
        <f t="shared" si="13"/>
        <v>3779.4434163100987</v>
      </c>
      <c r="I21" s="117">
        <f t="shared" si="13"/>
        <v>4518.8008346858342</v>
      </c>
      <c r="J21" s="117">
        <f t="shared" si="13"/>
        <v>5336.409291149379</v>
      </c>
      <c r="K21" s="117">
        <f t="shared" si="13"/>
        <v>7052.8480703159585</v>
      </c>
      <c r="L21" s="117">
        <f t="shared" si="13"/>
        <v>9385.5000737727369</v>
      </c>
      <c r="M21" s="117">
        <f t="shared" si="13"/>
        <v>3810.2804207153849</v>
      </c>
      <c r="N21" s="117">
        <f t="shared" si="13"/>
        <v>4549.6378390911204</v>
      </c>
      <c r="O21" s="117">
        <f t="shared" si="13"/>
        <v>6199.1189427312775</v>
      </c>
      <c r="P21" s="117">
        <f t="shared" si="13"/>
        <v>12376.211453744494</v>
      </c>
      <c r="Q21" s="117">
        <f t="shared" si="13"/>
        <v>20612.334801762114</v>
      </c>
      <c r="R21" s="117">
        <f t="shared" si="13"/>
        <v>27475.770925110133</v>
      </c>
      <c r="S21" s="118"/>
    </row>
    <row r="22" spans="2:19" ht="24.75" customHeight="1"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</row>
    <row r="23" spans="2:19">
      <c r="G23" s="120"/>
      <c r="H23" s="121">
        <f>H9/22.57</f>
        <v>220.20381036774478</v>
      </c>
      <c r="I23" s="121">
        <f>I9/22.57</f>
        <v>263.18121400088614</v>
      </c>
      <c r="J23" s="120"/>
      <c r="K23" s="120"/>
      <c r="L23" s="120"/>
      <c r="M23" s="120"/>
      <c r="N23" s="120"/>
      <c r="O23" s="120"/>
      <c r="P23" s="120"/>
      <c r="Q23" s="120"/>
      <c r="R23" s="120"/>
    </row>
  </sheetData>
  <mergeCells count="29">
    <mergeCell ref="B1:S1"/>
    <mergeCell ref="B3:E5"/>
    <mergeCell ref="F3:L3"/>
    <mergeCell ref="M3:N3"/>
    <mergeCell ref="O3:R3"/>
    <mergeCell ref="S3:S5"/>
    <mergeCell ref="F4:F5"/>
    <mergeCell ref="G4:G5"/>
    <mergeCell ref="H4:H5"/>
    <mergeCell ref="I4:I5"/>
    <mergeCell ref="J4:J5"/>
    <mergeCell ref="K4:K5"/>
    <mergeCell ref="L4:L5"/>
    <mergeCell ref="B19:E19"/>
    <mergeCell ref="B20:E20"/>
    <mergeCell ref="B21:E21"/>
    <mergeCell ref="D13:E13"/>
    <mergeCell ref="D14:E14"/>
    <mergeCell ref="C15:E15"/>
    <mergeCell ref="B16:E16"/>
    <mergeCell ref="B17:E17"/>
    <mergeCell ref="B18:E18"/>
    <mergeCell ref="B6:B15"/>
    <mergeCell ref="C6:C10"/>
    <mergeCell ref="D6:D9"/>
    <mergeCell ref="D10:E10"/>
    <mergeCell ref="C11:E11"/>
    <mergeCell ref="C12:C14"/>
    <mergeCell ref="D12:E12"/>
  </mergeCells>
  <phoneticPr fontId="7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V23"/>
  <sheetViews>
    <sheetView view="pageBreakPreview" zoomScale="80" zoomScaleNormal="80" zoomScaleSheetLayoutView="80" workbookViewId="0">
      <selection activeCell="N12" sqref="N12"/>
    </sheetView>
  </sheetViews>
  <sheetFormatPr defaultRowHeight="15"/>
  <cols>
    <col min="1" max="1" width="2" style="130" customWidth="1"/>
    <col min="2" max="3" width="2.5703125" style="130" customWidth="1"/>
    <col min="4" max="4" width="5.5703125" style="130" bestFit="1" customWidth="1"/>
    <col min="5" max="5" width="9.42578125" style="130" bestFit="1" customWidth="1"/>
    <col min="6" max="7" width="10.85546875" style="130" bestFit="1" customWidth="1"/>
    <col min="8" max="9" width="14.5703125" style="130" bestFit="1" customWidth="1"/>
    <col min="10" max="12" width="13.140625" style="130" bestFit="1" customWidth="1"/>
    <col min="13" max="13" width="11" style="130" bestFit="1" customWidth="1"/>
    <col min="14" max="14" width="10.85546875" style="130" bestFit="1" customWidth="1"/>
    <col min="15" max="19" width="13.140625" style="130" customWidth="1"/>
    <col min="20" max="20" width="27.28515625" style="130" bestFit="1" customWidth="1"/>
    <col min="21" max="21" width="9" style="130"/>
    <col min="22" max="22" width="10.28515625" style="130" bestFit="1" customWidth="1"/>
    <col min="23" max="256" width="9" style="130"/>
    <col min="257" max="257" width="2" style="130" customWidth="1"/>
    <col min="258" max="259" width="2.5703125" style="130" customWidth="1"/>
    <col min="260" max="260" width="5.5703125" style="130" bestFit="1" customWidth="1"/>
    <col min="261" max="261" width="9.42578125" style="130" bestFit="1" customWidth="1"/>
    <col min="262" max="263" width="10.85546875" style="130" bestFit="1" customWidth="1"/>
    <col min="264" max="265" width="14.5703125" style="130" bestFit="1" customWidth="1"/>
    <col min="266" max="268" width="13.140625" style="130" bestFit="1" customWidth="1"/>
    <col min="269" max="269" width="11" style="130" bestFit="1" customWidth="1"/>
    <col min="270" max="270" width="10.85546875" style="130" bestFit="1" customWidth="1"/>
    <col min="271" max="275" width="13.140625" style="130" customWidth="1"/>
    <col min="276" max="276" width="27.28515625" style="130" bestFit="1" customWidth="1"/>
    <col min="277" max="277" width="9" style="130"/>
    <col min="278" max="278" width="10.28515625" style="130" bestFit="1" customWidth="1"/>
    <col min="279" max="512" width="9" style="130"/>
    <col min="513" max="513" width="2" style="130" customWidth="1"/>
    <col min="514" max="515" width="2.5703125" style="130" customWidth="1"/>
    <col min="516" max="516" width="5.5703125" style="130" bestFit="1" customWidth="1"/>
    <col min="517" max="517" width="9.42578125" style="130" bestFit="1" customWidth="1"/>
    <col min="518" max="519" width="10.85546875" style="130" bestFit="1" customWidth="1"/>
    <col min="520" max="521" width="14.5703125" style="130" bestFit="1" customWidth="1"/>
    <col min="522" max="524" width="13.140625" style="130" bestFit="1" customWidth="1"/>
    <col min="525" max="525" width="11" style="130" bestFit="1" customWidth="1"/>
    <col min="526" max="526" width="10.85546875" style="130" bestFit="1" customWidth="1"/>
    <col min="527" max="531" width="13.140625" style="130" customWidth="1"/>
    <col min="532" max="532" width="27.28515625" style="130" bestFit="1" customWidth="1"/>
    <col min="533" max="533" width="9" style="130"/>
    <col min="534" max="534" width="10.28515625" style="130" bestFit="1" customWidth="1"/>
    <col min="535" max="768" width="9" style="130"/>
    <col min="769" max="769" width="2" style="130" customWidth="1"/>
    <col min="770" max="771" width="2.5703125" style="130" customWidth="1"/>
    <col min="772" max="772" width="5.5703125" style="130" bestFit="1" customWidth="1"/>
    <col min="773" max="773" width="9.42578125" style="130" bestFit="1" customWidth="1"/>
    <col min="774" max="775" width="10.85546875" style="130" bestFit="1" customWidth="1"/>
    <col min="776" max="777" width="14.5703125" style="130" bestFit="1" customWidth="1"/>
    <col min="778" max="780" width="13.140625" style="130" bestFit="1" customWidth="1"/>
    <col min="781" max="781" width="11" style="130" bestFit="1" customWidth="1"/>
    <col min="782" max="782" width="10.85546875" style="130" bestFit="1" customWidth="1"/>
    <col min="783" max="787" width="13.140625" style="130" customWidth="1"/>
    <col min="788" max="788" width="27.28515625" style="130" bestFit="1" customWidth="1"/>
    <col min="789" max="789" width="9" style="130"/>
    <col min="790" max="790" width="10.28515625" style="130" bestFit="1" customWidth="1"/>
    <col min="791" max="1024" width="9" style="130"/>
    <col min="1025" max="1025" width="2" style="130" customWidth="1"/>
    <col min="1026" max="1027" width="2.5703125" style="130" customWidth="1"/>
    <col min="1028" max="1028" width="5.5703125" style="130" bestFit="1" customWidth="1"/>
    <col min="1029" max="1029" width="9.42578125" style="130" bestFit="1" customWidth="1"/>
    <col min="1030" max="1031" width="10.85546875" style="130" bestFit="1" customWidth="1"/>
    <col min="1032" max="1033" width="14.5703125" style="130" bestFit="1" customWidth="1"/>
    <col min="1034" max="1036" width="13.140625" style="130" bestFit="1" customWidth="1"/>
    <col min="1037" max="1037" width="11" style="130" bestFit="1" customWidth="1"/>
    <col min="1038" max="1038" width="10.85546875" style="130" bestFit="1" customWidth="1"/>
    <col min="1039" max="1043" width="13.140625" style="130" customWidth="1"/>
    <col min="1044" max="1044" width="27.28515625" style="130" bestFit="1" customWidth="1"/>
    <col min="1045" max="1045" width="9" style="130"/>
    <col min="1046" max="1046" width="10.28515625" style="130" bestFit="1" customWidth="1"/>
    <col min="1047" max="1280" width="9" style="130"/>
    <col min="1281" max="1281" width="2" style="130" customWidth="1"/>
    <col min="1282" max="1283" width="2.5703125" style="130" customWidth="1"/>
    <col min="1284" max="1284" width="5.5703125" style="130" bestFit="1" customWidth="1"/>
    <col min="1285" max="1285" width="9.42578125" style="130" bestFit="1" customWidth="1"/>
    <col min="1286" max="1287" width="10.85546875" style="130" bestFit="1" customWidth="1"/>
    <col min="1288" max="1289" width="14.5703125" style="130" bestFit="1" customWidth="1"/>
    <col min="1290" max="1292" width="13.140625" style="130" bestFit="1" customWidth="1"/>
    <col min="1293" max="1293" width="11" style="130" bestFit="1" customWidth="1"/>
    <col min="1294" max="1294" width="10.85546875" style="130" bestFit="1" customWidth="1"/>
    <col min="1295" max="1299" width="13.140625" style="130" customWidth="1"/>
    <col min="1300" max="1300" width="27.28515625" style="130" bestFit="1" customWidth="1"/>
    <col min="1301" max="1301" width="9" style="130"/>
    <col min="1302" max="1302" width="10.28515625" style="130" bestFit="1" customWidth="1"/>
    <col min="1303" max="1536" width="9" style="130"/>
    <col min="1537" max="1537" width="2" style="130" customWidth="1"/>
    <col min="1538" max="1539" width="2.5703125" style="130" customWidth="1"/>
    <col min="1540" max="1540" width="5.5703125" style="130" bestFit="1" customWidth="1"/>
    <col min="1541" max="1541" width="9.42578125" style="130" bestFit="1" customWidth="1"/>
    <col min="1542" max="1543" width="10.85546875" style="130" bestFit="1" customWidth="1"/>
    <col min="1544" max="1545" width="14.5703125" style="130" bestFit="1" customWidth="1"/>
    <col min="1546" max="1548" width="13.140625" style="130" bestFit="1" customWidth="1"/>
    <col min="1549" max="1549" width="11" style="130" bestFit="1" customWidth="1"/>
    <col min="1550" max="1550" width="10.85546875" style="130" bestFit="1" customWidth="1"/>
    <col min="1551" max="1555" width="13.140625" style="130" customWidth="1"/>
    <col min="1556" max="1556" width="27.28515625" style="130" bestFit="1" customWidth="1"/>
    <col min="1557" max="1557" width="9" style="130"/>
    <col min="1558" max="1558" width="10.28515625" style="130" bestFit="1" customWidth="1"/>
    <col min="1559" max="1792" width="9" style="130"/>
    <col min="1793" max="1793" width="2" style="130" customWidth="1"/>
    <col min="1794" max="1795" width="2.5703125" style="130" customWidth="1"/>
    <col min="1796" max="1796" width="5.5703125" style="130" bestFit="1" customWidth="1"/>
    <col min="1797" max="1797" width="9.42578125" style="130" bestFit="1" customWidth="1"/>
    <col min="1798" max="1799" width="10.85546875" style="130" bestFit="1" customWidth="1"/>
    <col min="1800" max="1801" width="14.5703125" style="130" bestFit="1" customWidth="1"/>
    <col min="1802" max="1804" width="13.140625" style="130" bestFit="1" customWidth="1"/>
    <col min="1805" max="1805" width="11" style="130" bestFit="1" customWidth="1"/>
    <col min="1806" max="1806" width="10.85546875" style="130" bestFit="1" customWidth="1"/>
    <col min="1807" max="1811" width="13.140625" style="130" customWidth="1"/>
    <col min="1812" max="1812" width="27.28515625" style="130" bestFit="1" customWidth="1"/>
    <col min="1813" max="1813" width="9" style="130"/>
    <col min="1814" max="1814" width="10.28515625" style="130" bestFit="1" customWidth="1"/>
    <col min="1815" max="2048" width="9" style="130"/>
    <col min="2049" max="2049" width="2" style="130" customWidth="1"/>
    <col min="2050" max="2051" width="2.5703125" style="130" customWidth="1"/>
    <col min="2052" max="2052" width="5.5703125" style="130" bestFit="1" customWidth="1"/>
    <col min="2053" max="2053" width="9.42578125" style="130" bestFit="1" customWidth="1"/>
    <col min="2054" max="2055" width="10.85546875" style="130" bestFit="1" customWidth="1"/>
    <col min="2056" max="2057" width="14.5703125" style="130" bestFit="1" customWidth="1"/>
    <col min="2058" max="2060" width="13.140625" style="130" bestFit="1" customWidth="1"/>
    <col min="2061" max="2061" width="11" style="130" bestFit="1" customWidth="1"/>
    <col min="2062" max="2062" width="10.85546875" style="130" bestFit="1" customWidth="1"/>
    <col min="2063" max="2067" width="13.140625" style="130" customWidth="1"/>
    <col min="2068" max="2068" width="27.28515625" style="130" bestFit="1" customWidth="1"/>
    <col min="2069" max="2069" width="9" style="130"/>
    <col min="2070" max="2070" width="10.28515625" style="130" bestFit="1" customWidth="1"/>
    <col min="2071" max="2304" width="9" style="130"/>
    <col min="2305" max="2305" width="2" style="130" customWidth="1"/>
    <col min="2306" max="2307" width="2.5703125" style="130" customWidth="1"/>
    <col min="2308" max="2308" width="5.5703125" style="130" bestFit="1" customWidth="1"/>
    <col min="2309" max="2309" width="9.42578125" style="130" bestFit="1" customWidth="1"/>
    <col min="2310" max="2311" width="10.85546875" style="130" bestFit="1" customWidth="1"/>
    <col min="2312" max="2313" width="14.5703125" style="130" bestFit="1" customWidth="1"/>
    <col min="2314" max="2316" width="13.140625" style="130" bestFit="1" customWidth="1"/>
    <col min="2317" max="2317" width="11" style="130" bestFit="1" customWidth="1"/>
    <col min="2318" max="2318" width="10.85546875" style="130" bestFit="1" customWidth="1"/>
    <col min="2319" max="2323" width="13.140625" style="130" customWidth="1"/>
    <col min="2324" max="2324" width="27.28515625" style="130" bestFit="1" customWidth="1"/>
    <col min="2325" max="2325" width="9" style="130"/>
    <col min="2326" max="2326" width="10.28515625" style="130" bestFit="1" customWidth="1"/>
    <col min="2327" max="2560" width="9" style="130"/>
    <col min="2561" max="2561" width="2" style="130" customWidth="1"/>
    <col min="2562" max="2563" width="2.5703125" style="130" customWidth="1"/>
    <col min="2564" max="2564" width="5.5703125" style="130" bestFit="1" customWidth="1"/>
    <col min="2565" max="2565" width="9.42578125" style="130" bestFit="1" customWidth="1"/>
    <col min="2566" max="2567" width="10.85546875" style="130" bestFit="1" customWidth="1"/>
    <col min="2568" max="2569" width="14.5703125" style="130" bestFit="1" customWidth="1"/>
    <col min="2570" max="2572" width="13.140625" style="130" bestFit="1" customWidth="1"/>
    <col min="2573" max="2573" width="11" style="130" bestFit="1" customWidth="1"/>
    <col min="2574" max="2574" width="10.85546875" style="130" bestFit="1" customWidth="1"/>
    <col min="2575" max="2579" width="13.140625" style="130" customWidth="1"/>
    <col min="2580" max="2580" width="27.28515625" style="130" bestFit="1" customWidth="1"/>
    <col min="2581" max="2581" width="9" style="130"/>
    <col min="2582" max="2582" width="10.28515625" style="130" bestFit="1" customWidth="1"/>
    <col min="2583" max="2816" width="9" style="130"/>
    <col min="2817" max="2817" width="2" style="130" customWidth="1"/>
    <col min="2818" max="2819" width="2.5703125" style="130" customWidth="1"/>
    <col min="2820" max="2820" width="5.5703125" style="130" bestFit="1" customWidth="1"/>
    <col min="2821" max="2821" width="9.42578125" style="130" bestFit="1" customWidth="1"/>
    <col min="2822" max="2823" width="10.85546875" style="130" bestFit="1" customWidth="1"/>
    <col min="2824" max="2825" width="14.5703125" style="130" bestFit="1" customWidth="1"/>
    <col min="2826" max="2828" width="13.140625" style="130" bestFit="1" customWidth="1"/>
    <col min="2829" max="2829" width="11" style="130" bestFit="1" customWidth="1"/>
    <col min="2830" max="2830" width="10.85546875" style="130" bestFit="1" customWidth="1"/>
    <col min="2831" max="2835" width="13.140625" style="130" customWidth="1"/>
    <col min="2836" max="2836" width="27.28515625" style="130" bestFit="1" customWidth="1"/>
    <col min="2837" max="2837" width="9" style="130"/>
    <col min="2838" max="2838" width="10.28515625" style="130" bestFit="1" customWidth="1"/>
    <col min="2839" max="3072" width="9" style="130"/>
    <col min="3073" max="3073" width="2" style="130" customWidth="1"/>
    <col min="3074" max="3075" width="2.5703125" style="130" customWidth="1"/>
    <col min="3076" max="3076" width="5.5703125" style="130" bestFit="1" customWidth="1"/>
    <col min="3077" max="3077" width="9.42578125" style="130" bestFit="1" customWidth="1"/>
    <col min="3078" max="3079" width="10.85546875" style="130" bestFit="1" customWidth="1"/>
    <col min="3080" max="3081" width="14.5703125" style="130" bestFit="1" customWidth="1"/>
    <col min="3082" max="3084" width="13.140625" style="130" bestFit="1" customWidth="1"/>
    <col min="3085" max="3085" width="11" style="130" bestFit="1" customWidth="1"/>
    <col min="3086" max="3086" width="10.85546875" style="130" bestFit="1" customWidth="1"/>
    <col min="3087" max="3091" width="13.140625" style="130" customWidth="1"/>
    <col min="3092" max="3092" width="27.28515625" style="130" bestFit="1" customWidth="1"/>
    <col min="3093" max="3093" width="9" style="130"/>
    <col min="3094" max="3094" width="10.28515625" style="130" bestFit="1" customWidth="1"/>
    <col min="3095" max="3328" width="9" style="130"/>
    <col min="3329" max="3329" width="2" style="130" customWidth="1"/>
    <col min="3330" max="3331" width="2.5703125" style="130" customWidth="1"/>
    <col min="3332" max="3332" width="5.5703125" style="130" bestFit="1" customWidth="1"/>
    <col min="3333" max="3333" width="9.42578125" style="130" bestFit="1" customWidth="1"/>
    <col min="3334" max="3335" width="10.85546875" style="130" bestFit="1" customWidth="1"/>
    <col min="3336" max="3337" width="14.5703125" style="130" bestFit="1" customWidth="1"/>
    <col min="3338" max="3340" width="13.140625" style="130" bestFit="1" customWidth="1"/>
    <col min="3341" max="3341" width="11" style="130" bestFit="1" customWidth="1"/>
    <col min="3342" max="3342" width="10.85546875" style="130" bestFit="1" customWidth="1"/>
    <col min="3343" max="3347" width="13.140625" style="130" customWidth="1"/>
    <col min="3348" max="3348" width="27.28515625" style="130" bestFit="1" customWidth="1"/>
    <col min="3349" max="3349" width="9" style="130"/>
    <col min="3350" max="3350" width="10.28515625" style="130" bestFit="1" customWidth="1"/>
    <col min="3351" max="3584" width="9" style="130"/>
    <col min="3585" max="3585" width="2" style="130" customWidth="1"/>
    <col min="3586" max="3587" width="2.5703125" style="130" customWidth="1"/>
    <col min="3588" max="3588" width="5.5703125" style="130" bestFit="1" customWidth="1"/>
    <col min="3589" max="3589" width="9.42578125" style="130" bestFit="1" customWidth="1"/>
    <col min="3590" max="3591" width="10.85546875" style="130" bestFit="1" customWidth="1"/>
    <col min="3592" max="3593" width="14.5703125" style="130" bestFit="1" customWidth="1"/>
    <col min="3594" max="3596" width="13.140625" style="130" bestFit="1" customWidth="1"/>
    <col min="3597" max="3597" width="11" style="130" bestFit="1" customWidth="1"/>
    <col min="3598" max="3598" width="10.85546875" style="130" bestFit="1" customWidth="1"/>
    <col min="3599" max="3603" width="13.140625" style="130" customWidth="1"/>
    <col min="3604" max="3604" width="27.28515625" style="130" bestFit="1" customWidth="1"/>
    <col min="3605" max="3605" width="9" style="130"/>
    <col min="3606" max="3606" width="10.28515625" style="130" bestFit="1" customWidth="1"/>
    <col min="3607" max="3840" width="9" style="130"/>
    <col min="3841" max="3841" width="2" style="130" customWidth="1"/>
    <col min="3842" max="3843" width="2.5703125" style="130" customWidth="1"/>
    <col min="3844" max="3844" width="5.5703125" style="130" bestFit="1" customWidth="1"/>
    <col min="3845" max="3845" width="9.42578125" style="130" bestFit="1" customWidth="1"/>
    <col min="3846" max="3847" width="10.85546875" style="130" bestFit="1" customWidth="1"/>
    <col min="3848" max="3849" width="14.5703125" style="130" bestFit="1" customWidth="1"/>
    <col min="3850" max="3852" width="13.140625" style="130" bestFit="1" customWidth="1"/>
    <col min="3853" max="3853" width="11" style="130" bestFit="1" customWidth="1"/>
    <col min="3854" max="3854" width="10.85546875" style="130" bestFit="1" customWidth="1"/>
    <col min="3855" max="3859" width="13.140625" style="130" customWidth="1"/>
    <col min="3860" max="3860" width="27.28515625" style="130" bestFit="1" customWidth="1"/>
    <col min="3861" max="3861" width="9" style="130"/>
    <col min="3862" max="3862" width="10.28515625" style="130" bestFit="1" customWidth="1"/>
    <col min="3863" max="4096" width="9" style="130"/>
    <col min="4097" max="4097" width="2" style="130" customWidth="1"/>
    <col min="4098" max="4099" width="2.5703125" style="130" customWidth="1"/>
    <col min="4100" max="4100" width="5.5703125" style="130" bestFit="1" customWidth="1"/>
    <col min="4101" max="4101" width="9.42578125" style="130" bestFit="1" customWidth="1"/>
    <col min="4102" max="4103" width="10.85546875" style="130" bestFit="1" customWidth="1"/>
    <col min="4104" max="4105" width="14.5703125" style="130" bestFit="1" customWidth="1"/>
    <col min="4106" max="4108" width="13.140625" style="130" bestFit="1" customWidth="1"/>
    <col min="4109" max="4109" width="11" style="130" bestFit="1" customWidth="1"/>
    <col min="4110" max="4110" width="10.85546875" style="130" bestFit="1" customWidth="1"/>
    <col min="4111" max="4115" width="13.140625" style="130" customWidth="1"/>
    <col min="4116" max="4116" width="27.28515625" style="130" bestFit="1" customWidth="1"/>
    <col min="4117" max="4117" width="9" style="130"/>
    <col min="4118" max="4118" width="10.28515625" style="130" bestFit="1" customWidth="1"/>
    <col min="4119" max="4352" width="9" style="130"/>
    <col min="4353" max="4353" width="2" style="130" customWidth="1"/>
    <col min="4354" max="4355" width="2.5703125" style="130" customWidth="1"/>
    <col min="4356" max="4356" width="5.5703125" style="130" bestFit="1" customWidth="1"/>
    <col min="4357" max="4357" width="9.42578125" style="130" bestFit="1" customWidth="1"/>
    <col min="4358" max="4359" width="10.85546875" style="130" bestFit="1" customWidth="1"/>
    <col min="4360" max="4361" width="14.5703125" style="130" bestFit="1" customWidth="1"/>
    <col min="4362" max="4364" width="13.140625" style="130" bestFit="1" customWidth="1"/>
    <col min="4365" max="4365" width="11" style="130" bestFit="1" customWidth="1"/>
    <col min="4366" max="4366" width="10.85546875" style="130" bestFit="1" customWidth="1"/>
    <col min="4367" max="4371" width="13.140625" style="130" customWidth="1"/>
    <col min="4372" max="4372" width="27.28515625" style="130" bestFit="1" customWidth="1"/>
    <col min="4373" max="4373" width="9" style="130"/>
    <col min="4374" max="4374" width="10.28515625" style="130" bestFit="1" customWidth="1"/>
    <col min="4375" max="4608" width="9" style="130"/>
    <col min="4609" max="4609" width="2" style="130" customWidth="1"/>
    <col min="4610" max="4611" width="2.5703125" style="130" customWidth="1"/>
    <col min="4612" max="4612" width="5.5703125" style="130" bestFit="1" customWidth="1"/>
    <col min="4613" max="4613" width="9.42578125" style="130" bestFit="1" customWidth="1"/>
    <col min="4614" max="4615" width="10.85546875" style="130" bestFit="1" customWidth="1"/>
    <col min="4616" max="4617" width="14.5703125" style="130" bestFit="1" customWidth="1"/>
    <col min="4618" max="4620" width="13.140625" style="130" bestFit="1" customWidth="1"/>
    <col min="4621" max="4621" width="11" style="130" bestFit="1" customWidth="1"/>
    <col min="4622" max="4622" width="10.85546875" style="130" bestFit="1" customWidth="1"/>
    <col min="4623" max="4627" width="13.140625" style="130" customWidth="1"/>
    <col min="4628" max="4628" width="27.28515625" style="130" bestFit="1" customWidth="1"/>
    <col min="4629" max="4629" width="9" style="130"/>
    <col min="4630" max="4630" width="10.28515625" style="130" bestFit="1" customWidth="1"/>
    <col min="4631" max="4864" width="9" style="130"/>
    <col min="4865" max="4865" width="2" style="130" customWidth="1"/>
    <col min="4866" max="4867" width="2.5703125" style="130" customWidth="1"/>
    <col min="4868" max="4868" width="5.5703125" style="130" bestFit="1" customWidth="1"/>
    <col min="4869" max="4869" width="9.42578125" style="130" bestFit="1" customWidth="1"/>
    <col min="4870" max="4871" width="10.85546875" style="130" bestFit="1" customWidth="1"/>
    <col min="4872" max="4873" width="14.5703125" style="130" bestFit="1" customWidth="1"/>
    <col min="4874" max="4876" width="13.140625" style="130" bestFit="1" customWidth="1"/>
    <col min="4877" max="4877" width="11" style="130" bestFit="1" customWidth="1"/>
    <col min="4878" max="4878" width="10.85546875" style="130" bestFit="1" customWidth="1"/>
    <col min="4879" max="4883" width="13.140625" style="130" customWidth="1"/>
    <col min="4884" max="4884" width="27.28515625" style="130" bestFit="1" customWidth="1"/>
    <col min="4885" max="4885" width="9" style="130"/>
    <col min="4886" max="4886" width="10.28515625" style="130" bestFit="1" customWidth="1"/>
    <col min="4887" max="5120" width="9" style="130"/>
    <col min="5121" max="5121" width="2" style="130" customWidth="1"/>
    <col min="5122" max="5123" width="2.5703125" style="130" customWidth="1"/>
    <col min="5124" max="5124" width="5.5703125" style="130" bestFit="1" customWidth="1"/>
    <col min="5125" max="5125" width="9.42578125" style="130" bestFit="1" customWidth="1"/>
    <col min="5126" max="5127" width="10.85546875" style="130" bestFit="1" customWidth="1"/>
    <col min="5128" max="5129" width="14.5703125" style="130" bestFit="1" customWidth="1"/>
    <col min="5130" max="5132" width="13.140625" style="130" bestFit="1" customWidth="1"/>
    <col min="5133" max="5133" width="11" style="130" bestFit="1" customWidth="1"/>
    <col min="5134" max="5134" width="10.85546875" style="130" bestFit="1" customWidth="1"/>
    <col min="5135" max="5139" width="13.140625" style="130" customWidth="1"/>
    <col min="5140" max="5140" width="27.28515625" style="130" bestFit="1" customWidth="1"/>
    <col min="5141" max="5141" width="9" style="130"/>
    <col min="5142" max="5142" width="10.28515625" style="130" bestFit="1" customWidth="1"/>
    <col min="5143" max="5376" width="9" style="130"/>
    <col min="5377" max="5377" width="2" style="130" customWidth="1"/>
    <col min="5378" max="5379" width="2.5703125" style="130" customWidth="1"/>
    <col min="5380" max="5380" width="5.5703125" style="130" bestFit="1" customWidth="1"/>
    <col min="5381" max="5381" width="9.42578125" style="130" bestFit="1" customWidth="1"/>
    <col min="5382" max="5383" width="10.85546875" style="130" bestFit="1" customWidth="1"/>
    <col min="5384" max="5385" width="14.5703125" style="130" bestFit="1" customWidth="1"/>
    <col min="5386" max="5388" width="13.140625" style="130" bestFit="1" customWidth="1"/>
    <col min="5389" max="5389" width="11" style="130" bestFit="1" customWidth="1"/>
    <col min="5390" max="5390" width="10.85546875" style="130" bestFit="1" customWidth="1"/>
    <col min="5391" max="5395" width="13.140625" style="130" customWidth="1"/>
    <col min="5396" max="5396" width="27.28515625" style="130" bestFit="1" customWidth="1"/>
    <col min="5397" max="5397" width="9" style="130"/>
    <col min="5398" max="5398" width="10.28515625" style="130" bestFit="1" customWidth="1"/>
    <col min="5399" max="5632" width="9" style="130"/>
    <col min="5633" max="5633" width="2" style="130" customWidth="1"/>
    <col min="5634" max="5635" width="2.5703125" style="130" customWidth="1"/>
    <col min="5636" max="5636" width="5.5703125" style="130" bestFit="1" customWidth="1"/>
    <col min="5637" max="5637" width="9.42578125" style="130" bestFit="1" customWidth="1"/>
    <col min="5638" max="5639" width="10.85546875" style="130" bestFit="1" customWidth="1"/>
    <col min="5640" max="5641" width="14.5703125" style="130" bestFit="1" customWidth="1"/>
    <col min="5642" max="5644" width="13.140625" style="130" bestFit="1" customWidth="1"/>
    <col min="5645" max="5645" width="11" style="130" bestFit="1" customWidth="1"/>
    <col min="5646" max="5646" width="10.85546875" style="130" bestFit="1" customWidth="1"/>
    <col min="5647" max="5651" width="13.140625" style="130" customWidth="1"/>
    <col min="5652" max="5652" width="27.28515625" style="130" bestFit="1" customWidth="1"/>
    <col min="5653" max="5653" width="9" style="130"/>
    <col min="5654" max="5654" width="10.28515625" style="130" bestFit="1" customWidth="1"/>
    <col min="5655" max="5888" width="9" style="130"/>
    <col min="5889" max="5889" width="2" style="130" customWidth="1"/>
    <col min="5890" max="5891" width="2.5703125" style="130" customWidth="1"/>
    <col min="5892" max="5892" width="5.5703125" style="130" bestFit="1" customWidth="1"/>
    <col min="5893" max="5893" width="9.42578125" style="130" bestFit="1" customWidth="1"/>
    <col min="5894" max="5895" width="10.85546875" style="130" bestFit="1" customWidth="1"/>
    <col min="5896" max="5897" width="14.5703125" style="130" bestFit="1" customWidth="1"/>
    <col min="5898" max="5900" width="13.140625" style="130" bestFit="1" customWidth="1"/>
    <col min="5901" max="5901" width="11" style="130" bestFit="1" customWidth="1"/>
    <col min="5902" max="5902" width="10.85546875" style="130" bestFit="1" customWidth="1"/>
    <col min="5903" max="5907" width="13.140625" style="130" customWidth="1"/>
    <col min="5908" max="5908" width="27.28515625" style="130" bestFit="1" customWidth="1"/>
    <col min="5909" max="5909" width="9" style="130"/>
    <col min="5910" max="5910" width="10.28515625" style="130" bestFit="1" customWidth="1"/>
    <col min="5911" max="6144" width="9" style="130"/>
    <col min="6145" max="6145" width="2" style="130" customWidth="1"/>
    <col min="6146" max="6147" width="2.5703125" style="130" customWidth="1"/>
    <col min="6148" max="6148" width="5.5703125" style="130" bestFit="1" customWidth="1"/>
    <col min="6149" max="6149" width="9.42578125" style="130" bestFit="1" customWidth="1"/>
    <col min="6150" max="6151" width="10.85546875" style="130" bestFit="1" customWidth="1"/>
    <col min="6152" max="6153" width="14.5703125" style="130" bestFit="1" customWidth="1"/>
    <col min="6154" max="6156" width="13.140625" style="130" bestFit="1" customWidth="1"/>
    <col min="6157" max="6157" width="11" style="130" bestFit="1" customWidth="1"/>
    <col min="6158" max="6158" width="10.85546875" style="130" bestFit="1" customWidth="1"/>
    <col min="6159" max="6163" width="13.140625" style="130" customWidth="1"/>
    <col min="6164" max="6164" width="27.28515625" style="130" bestFit="1" customWidth="1"/>
    <col min="6165" max="6165" width="9" style="130"/>
    <col min="6166" max="6166" width="10.28515625" style="130" bestFit="1" customWidth="1"/>
    <col min="6167" max="6400" width="9" style="130"/>
    <col min="6401" max="6401" width="2" style="130" customWidth="1"/>
    <col min="6402" max="6403" width="2.5703125" style="130" customWidth="1"/>
    <col min="6404" max="6404" width="5.5703125" style="130" bestFit="1" customWidth="1"/>
    <col min="6405" max="6405" width="9.42578125" style="130" bestFit="1" customWidth="1"/>
    <col min="6406" max="6407" width="10.85546875" style="130" bestFit="1" customWidth="1"/>
    <col min="6408" max="6409" width="14.5703125" style="130" bestFit="1" customWidth="1"/>
    <col min="6410" max="6412" width="13.140625" style="130" bestFit="1" customWidth="1"/>
    <col min="6413" max="6413" width="11" style="130" bestFit="1" customWidth="1"/>
    <col min="6414" max="6414" width="10.85546875" style="130" bestFit="1" customWidth="1"/>
    <col min="6415" max="6419" width="13.140625" style="130" customWidth="1"/>
    <col min="6420" max="6420" width="27.28515625" style="130" bestFit="1" customWidth="1"/>
    <col min="6421" max="6421" width="9" style="130"/>
    <col min="6422" max="6422" width="10.28515625" style="130" bestFit="1" customWidth="1"/>
    <col min="6423" max="6656" width="9" style="130"/>
    <col min="6657" max="6657" width="2" style="130" customWidth="1"/>
    <col min="6658" max="6659" width="2.5703125" style="130" customWidth="1"/>
    <col min="6660" max="6660" width="5.5703125" style="130" bestFit="1" customWidth="1"/>
    <col min="6661" max="6661" width="9.42578125" style="130" bestFit="1" customWidth="1"/>
    <col min="6662" max="6663" width="10.85546875" style="130" bestFit="1" customWidth="1"/>
    <col min="6664" max="6665" width="14.5703125" style="130" bestFit="1" customWidth="1"/>
    <col min="6666" max="6668" width="13.140625" style="130" bestFit="1" customWidth="1"/>
    <col min="6669" max="6669" width="11" style="130" bestFit="1" customWidth="1"/>
    <col min="6670" max="6670" width="10.85546875" style="130" bestFit="1" customWidth="1"/>
    <col min="6671" max="6675" width="13.140625" style="130" customWidth="1"/>
    <col min="6676" max="6676" width="27.28515625" style="130" bestFit="1" customWidth="1"/>
    <col min="6677" max="6677" width="9" style="130"/>
    <col min="6678" max="6678" width="10.28515625" style="130" bestFit="1" customWidth="1"/>
    <col min="6679" max="6912" width="9" style="130"/>
    <col min="6913" max="6913" width="2" style="130" customWidth="1"/>
    <col min="6914" max="6915" width="2.5703125" style="130" customWidth="1"/>
    <col min="6916" max="6916" width="5.5703125" style="130" bestFit="1" customWidth="1"/>
    <col min="6917" max="6917" width="9.42578125" style="130" bestFit="1" customWidth="1"/>
    <col min="6918" max="6919" width="10.85546875" style="130" bestFit="1" customWidth="1"/>
    <col min="6920" max="6921" width="14.5703125" style="130" bestFit="1" customWidth="1"/>
    <col min="6922" max="6924" width="13.140625" style="130" bestFit="1" customWidth="1"/>
    <col min="6925" max="6925" width="11" style="130" bestFit="1" customWidth="1"/>
    <col min="6926" max="6926" width="10.85546875" style="130" bestFit="1" customWidth="1"/>
    <col min="6927" max="6931" width="13.140625" style="130" customWidth="1"/>
    <col min="6932" max="6932" width="27.28515625" style="130" bestFit="1" customWidth="1"/>
    <col min="6933" max="6933" width="9" style="130"/>
    <col min="6934" max="6934" width="10.28515625" style="130" bestFit="1" customWidth="1"/>
    <col min="6935" max="7168" width="9" style="130"/>
    <col min="7169" max="7169" width="2" style="130" customWidth="1"/>
    <col min="7170" max="7171" width="2.5703125" style="130" customWidth="1"/>
    <col min="7172" max="7172" width="5.5703125" style="130" bestFit="1" customWidth="1"/>
    <col min="7173" max="7173" width="9.42578125" style="130" bestFit="1" customWidth="1"/>
    <col min="7174" max="7175" width="10.85546875" style="130" bestFit="1" customWidth="1"/>
    <col min="7176" max="7177" width="14.5703125" style="130" bestFit="1" customWidth="1"/>
    <col min="7178" max="7180" width="13.140625" style="130" bestFit="1" customWidth="1"/>
    <col min="7181" max="7181" width="11" style="130" bestFit="1" customWidth="1"/>
    <col min="7182" max="7182" width="10.85546875" style="130" bestFit="1" customWidth="1"/>
    <col min="7183" max="7187" width="13.140625" style="130" customWidth="1"/>
    <col min="7188" max="7188" width="27.28515625" style="130" bestFit="1" customWidth="1"/>
    <col min="7189" max="7189" width="9" style="130"/>
    <col min="7190" max="7190" width="10.28515625" style="130" bestFit="1" customWidth="1"/>
    <col min="7191" max="7424" width="9" style="130"/>
    <col min="7425" max="7425" width="2" style="130" customWidth="1"/>
    <col min="7426" max="7427" width="2.5703125" style="130" customWidth="1"/>
    <col min="7428" max="7428" width="5.5703125" style="130" bestFit="1" customWidth="1"/>
    <col min="7429" max="7429" width="9.42578125" style="130" bestFit="1" customWidth="1"/>
    <col min="7430" max="7431" width="10.85546875" style="130" bestFit="1" customWidth="1"/>
    <col min="7432" max="7433" width="14.5703125" style="130" bestFit="1" customWidth="1"/>
    <col min="7434" max="7436" width="13.140625" style="130" bestFit="1" customWidth="1"/>
    <col min="7437" max="7437" width="11" style="130" bestFit="1" customWidth="1"/>
    <col min="7438" max="7438" width="10.85546875" style="130" bestFit="1" customWidth="1"/>
    <col min="7439" max="7443" width="13.140625" style="130" customWidth="1"/>
    <col min="7444" max="7444" width="27.28515625" style="130" bestFit="1" customWidth="1"/>
    <col min="7445" max="7445" width="9" style="130"/>
    <col min="7446" max="7446" width="10.28515625" style="130" bestFit="1" customWidth="1"/>
    <col min="7447" max="7680" width="9" style="130"/>
    <col min="7681" max="7681" width="2" style="130" customWidth="1"/>
    <col min="7682" max="7683" width="2.5703125" style="130" customWidth="1"/>
    <col min="7684" max="7684" width="5.5703125" style="130" bestFit="1" customWidth="1"/>
    <col min="7685" max="7685" width="9.42578125" style="130" bestFit="1" customWidth="1"/>
    <col min="7686" max="7687" width="10.85546875" style="130" bestFit="1" customWidth="1"/>
    <col min="7688" max="7689" width="14.5703125" style="130" bestFit="1" customWidth="1"/>
    <col min="7690" max="7692" width="13.140625" style="130" bestFit="1" customWidth="1"/>
    <col min="7693" max="7693" width="11" style="130" bestFit="1" customWidth="1"/>
    <col min="7694" max="7694" width="10.85546875" style="130" bestFit="1" customWidth="1"/>
    <col min="7695" max="7699" width="13.140625" style="130" customWidth="1"/>
    <col min="7700" max="7700" width="27.28515625" style="130" bestFit="1" customWidth="1"/>
    <col min="7701" max="7701" width="9" style="130"/>
    <col min="7702" max="7702" width="10.28515625" style="130" bestFit="1" customWidth="1"/>
    <col min="7703" max="7936" width="9" style="130"/>
    <col min="7937" max="7937" width="2" style="130" customWidth="1"/>
    <col min="7938" max="7939" width="2.5703125" style="130" customWidth="1"/>
    <col min="7940" max="7940" width="5.5703125" style="130" bestFit="1" customWidth="1"/>
    <col min="7941" max="7941" width="9.42578125" style="130" bestFit="1" customWidth="1"/>
    <col min="7942" max="7943" width="10.85546875" style="130" bestFit="1" customWidth="1"/>
    <col min="7944" max="7945" width="14.5703125" style="130" bestFit="1" customWidth="1"/>
    <col min="7946" max="7948" width="13.140625" style="130" bestFit="1" customWidth="1"/>
    <col min="7949" max="7949" width="11" style="130" bestFit="1" customWidth="1"/>
    <col min="7950" max="7950" width="10.85546875" style="130" bestFit="1" customWidth="1"/>
    <col min="7951" max="7955" width="13.140625" style="130" customWidth="1"/>
    <col min="7956" max="7956" width="27.28515625" style="130" bestFit="1" customWidth="1"/>
    <col min="7957" max="7957" width="9" style="130"/>
    <col min="7958" max="7958" width="10.28515625" style="130" bestFit="1" customWidth="1"/>
    <col min="7959" max="8192" width="9" style="130"/>
    <col min="8193" max="8193" width="2" style="130" customWidth="1"/>
    <col min="8194" max="8195" width="2.5703125" style="130" customWidth="1"/>
    <col min="8196" max="8196" width="5.5703125" style="130" bestFit="1" customWidth="1"/>
    <col min="8197" max="8197" width="9.42578125" style="130" bestFit="1" customWidth="1"/>
    <col min="8198" max="8199" width="10.85546875" style="130" bestFit="1" customWidth="1"/>
    <col min="8200" max="8201" width="14.5703125" style="130" bestFit="1" customWidth="1"/>
    <col min="8202" max="8204" width="13.140625" style="130" bestFit="1" customWidth="1"/>
    <col min="8205" max="8205" width="11" style="130" bestFit="1" customWidth="1"/>
    <col min="8206" max="8206" width="10.85546875" style="130" bestFit="1" customWidth="1"/>
    <col min="8207" max="8211" width="13.140625" style="130" customWidth="1"/>
    <col min="8212" max="8212" width="27.28515625" style="130" bestFit="1" customWidth="1"/>
    <col min="8213" max="8213" width="9" style="130"/>
    <col min="8214" max="8214" width="10.28515625" style="130" bestFit="1" customWidth="1"/>
    <col min="8215" max="8448" width="9" style="130"/>
    <col min="8449" max="8449" width="2" style="130" customWidth="1"/>
    <col min="8450" max="8451" width="2.5703125" style="130" customWidth="1"/>
    <col min="8452" max="8452" width="5.5703125" style="130" bestFit="1" customWidth="1"/>
    <col min="8453" max="8453" width="9.42578125" style="130" bestFit="1" customWidth="1"/>
    <col min="8454" max="8455" width="10.85546875" style="130" bestFit="1" customWidth="1"/>
    <col min="8456" max="8457" width="14.5703125" style="130" bestFit="1" customWidth="1"/>
    <col min="8458" max="8460" width="13.140625" style="130" bestFit="1" customWidth="1"/>
    <col min="8461" max="8461" width="11" style="130" bestFit="1" customWidth="1"/>
    <col min="8462" max="8462" width="10.85546875" style="130" bestFit="1" customWidth="1"/>
    <col min="8463" max="8467" width="13.140625" style="130" customWidth="1"/>
    <col min="8468" max="8468" width="27.28515625" style="130" bestFit="1" customWidth="1"/>
    <col min="8469" max="8469" width="9" style="130"/>
    <col min="8470" max="8470" width="10.28515625" style="130" bestFit="1" customWidth="1"/>
    <col min="8471" max="8704" width="9" style="130"/>
    <col min="8705" max="8705" width="2" style="130" customWidth="1"/>
    <col min="8706" max="8707" width="2.5703125" style="130" customWidth="1"/>
    <col min="8708" max="8708" width="5.5703125" style="130" bestFit="1" customWidth="1"/>
    <col min="8709" max="8709" width="9.42578125" style="130" bestFit="1" customWidth="1"/>
    <col min="8710" max="8711" width="10.85546875" style="130" bestFit="1" customWidth="1"/>
    <col min="8712" max="8713" width="14.5703125" style="130" bestFit="1" customWidth="1"/>
    <col min="8714" max="8716" width="13.140625" style="130" bestFit="1" customWidth="1"/>
    <col min="8717" max="8717" width="11" style="130" bestFit="1" customWidth="1"/>
    <col min="8718" max="8718" width="10.85546875" style="130" bestFit="1" customWidth="1"/>
    <col min="8719" max="8723" width="13.140625" style="130" customWidth="1"/>
    <col min="8724" max="8724" width="27.28515625" style="130" bestFit="1" customWidth="1"/>
    <col min="8725" max="8725" width="9" style="130"/>
    <col min="8726" max="8726" width="10.28515625" style="130" bestFit="1" customWidth="1"/>
    <col min="8727" max="8960" width="9" style="130"/>
    <col min="8961" max="8961" width="2" style="130" customWidth="1"/>
    <col min="8962" max="8963" width="2.5703125" style="130" customWidth="1"/>
    <col min="8964" max="8964" width="5.5703125" style="130" bestFit="1" customWidth="1"/>
    <col min="8965" max="8965" width="9.42578125" style="130" bestFit="1" customWidth="1"/>
    <col min="8966" max="8967" width="10.85546875" style="130" bestFit="1" customWidth="1"/>
    <col min="8968" max="8969" width="14.5703125" style="130" bestFit="1" customWidth="1"/>
    <col min="8970" max="8972" width="13.140625" style="130" bestFit="1" customWidth="1"/>
    <col min="8973" max="8973" width="11" style="130" bestFit="1" customWidth="1"/>
    <col min="8974" max="8974" width="10.85546875" style="130" bestFit="1" customWidth="1"/>
    <col min="8975" max="8979" width="13.140625" style="130" customWidth="1"/>
    <col min="8980" max="8980" width="27.28515625" style="130" bestFit="1" customWidth="1"/>
    <col min="8981" max="8981" width="9" style="130"/>
    <col min="8982" max="8982" width="10.28515625" style="130" bestFit="1" customWidth="1"/>
    <col min="8983" max="9216" width="9" style="130"/>
    <col min="9217" max="9217" width="2" style="130" customWidth="1"/>
    <col min="9218" max="9219" width="2.5703125" style="130" customWidth="1"/>
    <col min="9220" max="9220" width="5.5703125" style="130" bestFit="1" customWidth="1"/>
    <col min="9221" max="9221" width="9.42578125" style="130" bestFit="1" customWidth="1"/>
    <col min="9222" max="9223" width="10.85546875" style="130" bestFit="1" customWidth="1"/>
    <col min="9224" max="9225" width="14.5703125" style="130" bestFit="1" customWidth="1"/>
    <col min="9226" max="9228" width="13.140625" style="130" bestFit="1" customWidth="1"/>
    <col min="9229" max="9229" width="11" style="130" bestFit="1" customWidth="1"/>
    <col min="9230" max="9230" width="10.85546875" style="130" bestFit="1" customWidth="1"/>
    <col min="9231" max="9235" width="13.140625" style="130" customWidth="1"/>
    <col min="9236" max="9236" width="27.28515625" style="130" bestFit="1" customWidth="1"/>
    <col min="9237" max="9237" width="9" style="130"/>
    <col min="9238" max="9238" width="10.28515625" style="130" bestFit="1" customWidth="1"/>
    <col min="9239" max="9472" width="9" style="130"/>
    <col min="9473" max="9473" width="2" style="130" customWidth="1"/>
    <col min="9474" max="9475" width="2.5703125" style="130" customWidth="1"/>
    <col min="9476" max="9476" width="5.5703125" style="130" bestFit="1" customWidth="1"/>
    <col min="9477" max="9477" width="9.42578125" style="130" bestFit="1" customWidth="1"/>
    <col min="9478" max="9479" width="10.85546875" style="130" bestFit="1" customWidth="1"/>
    <col min="9480" max="9481" width="14.5703125" style="130" bestFit="1" customWidth="1"/>
    <col min="9482" max="9484" width="13.140625" style="130" bestFit="1" customWidth="1"/>
    <col min="9485" max="9485" width="11" style="130" bestFit="1" customWidth="1"/>
    <col min="9486" max="9486" width="10.85546875" style="130" bestFit="1" customWidth="1"/>
    <col min="9487" max="9491" width="13.140625" style="130" customWidth="1"/>
    <col min="9492" max="9492" width="27.28515625" style="130" bestFit="1" customWidth="1"/>
    <col min="9493" max="9493" width="9" style="130"/>
    <col min="9494" max="9494" width="10.28515625" style="130" bestFit="1" customWidth="1"/>
    <col min="9495" max="9728" width="9" style="130"/>
    <col min="9729" max="9729" width="2" style="130" customWidth="1"/>
    <col min="9730" max="9731" width="2.5703125" style="130" customWidth="1"/>
    <col min="9732" max="9732" width="5.5703125" style="130" bestFit="1" customWidth="1"/>
    <col min="9733" max="9733" width="9.42578125" style="130" bestFit="1" customWidth="1"/>
    <col min="9734" max="9735" width="10.85546875" style="130" bestFit="1" customWidth="1"/>
    <col min="9736" max="9737" width="14.5703125" style="130" bestFit="1" customWidth="1"/>
    <col min="9738" max="9740" width="13.140625" style="130" bestFit="1" customWidth="1"/>
    <col min="9741" max="9741" width="11" style="130" bestFit="1" customWidth="1"/>
    <col min="9742" max="9742" width="10.85546875" style="130" bestFit="1" customWidth="1"/>
    <col min="9743" max="9747" width="13.140625" style="130" customWidth="1"/>
    <col min="9748" max="9748" width="27.28515625" style="130" bestFit="1" customWidth="1"/>
    <col min="9749" max="9749" width="9" style="130"/>
    <col min="9750" max="9750" width="10.28515625" style="130" bestFit="1" customWidth="1"/>
    <col min="9751" max="9984" width="9" style="130"/>
    <col min="9985" max="9985" width="2" style="130" customWidth="1"/>
    <col min="9986" max="9987" width="2.5703125" style="130" customWidth="1"/>
    <col min="9988" max="9988" width="5.5703125" style="130" bestFit="1" customWidth="1"/>
    <col min="9989" max="9989" width="9.42578125" style="130" bestFit="1" customWidth="1"/>
    <col min="9990" max="9991" width="10.85546875" style="130" bestFit="1" customWidth="1"/>
    <col min="9992" max="9993" width="14.5703125" style="130" bestFit="1" customWidth="1"/>
    <col min="9994" max="9996" width="13.140625" style="130" bestFit="1" customWidth="1"/>
    <col min="9997" max="9997" width="11" style="130" bestFit="1" customWidth="1"/>
    <col min="9998" max="9998" width="10.85546875" style="130" bestFit="1" customWidth="1"/>
    <col min="9999" max="10003" width="13.140625" style="130" customWidth="1"/>
    <col min="10004" max="10004" width="27.28515625" style="130" bestFit="1" customWidth="1"/>
    <col min="10005" max="10005" width="9" style="130"/>
    <col min="10006" max="10006" width="10.28515625" style="130" bestFit="1" customWidth="1"/>
    <col min="10007" max="10240" width="9" style="130"/>
    <col min="10241" max="10241" width="2" style="130" customWidth="1"/>
    <col min="10242" max="10243" width="2.5703125" style="130" customWidth="1"/>
    <col min="10244" max="10244" width="5.5703125" style="130" bestFit="1" customWidth="1"/>
    <col min="10245" max="10245" width="9.42578125" style="130" bestFit="1" customWidth="1"/>
    <col min="10246" max="10247" width="10.85546875" style="130" bestFit="1" customWidth="1"/>
    <col min="10248" max="10249" width="14.5703125" style="130" bestFit="1" customWidth="1"/>
    <col min="10250" max="10252" width="13.140625" style="130" bestFit="1" customWidth="1"/>
    <col min="10253" max="10253" width="11" style="130" bestFit="1" customWidth="1"/>
    <col min="10254" max="10254" width="10.85546875" style="130" bestFit="1" customWidth="1"/>
    <col min="10255" max="10259" width="13.140625" style="130" customWidth="1"/>
    <col min="10260" max="10260" width="27.28515625" style="130" bestFit="1" customWidth="1"/>
    <col min="10261" max="10261" width="9" style="130"/>
    <col min="10262" max="10262" width="10.28515625" style="130" bestFit="1" customWidth="1"/>
    <col min="10263" max="10496" width="9" style="130"/>
    <col min="10497" max="10497" width="2" style="130" customWidth="1"/>
    <col min="10498" max="10499" width="2.5703125" style="130" customWidth="1"/>
    <col min="10500" max="10500" width="5.5703125" style="130" bestFit="1" customWidth="1"/>
    <col min="10501" max="10501" width="9.42578125" style="130" bestFit="1" customWidth="1"/>
    <col min="10502" max="10503" width="10.85546875" style="130" bestFit="1" customWidth="1"/>
    <col min="10504" max="10505" width="14.5703125" style="130" bestFit="1" customWidth="1"/>
    <col min="10506" max="10508" width="13.140625" style="130" bestFit="1" customWidth="1"/>
    <col min="10509" max="10509" width="11" style="130" bestFit="1" customWidth="1"/>
    <col min="10510" max="10510" width="10.85546875" style="130" bestFit="1" customWidth="1"/>
    <col min="10511" max="10515" width="13.140625" style="130" customWidth="1"/>
    <col min="10516" max="10516" width="27.28515625" style="130" bestFit="1" customWidth="1"/>
    <col min="10517" max="10517" width="9" style="130"/>
    <col min="10518" max="10518" width="10.28515625" style="130" bestFit="1" customWidth="1"/>
    <col min="10519" max="10752" width="9" style="130"/>
    <col min="10753" max="10753" width="2" style="130" customWidth="1"/>
    <col min="10754" max="10755" width="2.5703125" style="130" customWidth="1"/>
    <col min="10756" max="10756" width="5.5703125" style="130" bestFit="1" customWidth="1"/>
    <col min="10757" max="10757" width="9.42578125" style="130" bestFit="1" customWidth="1"/>
    <col min="10758" max="10759" width="10.85546875" style="130" bestFit="1" customWidth="1"/>
    <col min="10760" max="10761" width="14.5703125" style="130" bestFit="1" customWidth="1"/>
    <col min="10762" max="10764" width="13.140625" style="130" bestFit="1" customWidth="1"/>
    <col min="10765" max="10765" width="11" style="130" bestFit="1" customWidth="1"/>
    <col min="10766" max="10766" width="10.85546875" style="130" bestFit="1" customWidth="1"/>
    <col min="10767" max="10771" width="13.140625" style="130" customWidth="1"/>
    <col min="10772" max="10772" width="27.28515625" style="130" bestFit="1" customWidth="1"/>
    <col min="10773" max="10773" width="9" style="130"/>
    <col min="10774" max="10774" width="10.28515625" style="130" bestFit="1" customWidth="1"/>
    <col min="10775" max="11008" width="9" style="130"/>
    <col min="11009" max="11009" width="2" style="130" customWidth="1"/>
    <col min="11010" max="11011" width="2.5703125" style="130" customWidth="1"/>
    <col min="11012" max="11012" width="5.5703125" style="130" bestFit="1" customWidth="1"/>
    <col min="11013" max="11013" width="9.42578125" style="130" bestFit="1" customWidth="1"/>
    <col min="11014" max="11015" width="10.85546875" style="130" bestFit="1" customWidth="1"/>
    <col min="11016" max="11017" width="14.5703125" style="130" bestFit="1" customWidth="1"/>
    <col min="11018" max="11020" width="13.140625" style="130" bestFit="1" customWidth="1"/>
    <col min="11021" max="11021" width="11" style="130" bestFit="1" customWidth="1"/>
    <col min="11022" max="11022" width="10.85546875" style="130" bestFit="1" customWidth="1"/>
    <col min="11023" max="11027" width="13.140625" style="130" customWidth="1"/>
    <col min="11028" max="11028" width="27.28515625" style="130" bestFit="1" customWidth="1"/>
    <col min="11029" max="11029" width="9" style="130"/>
    <col min="11030" max="11030" width="10.28515625" style="130" bestFit="1" customWidth="1"/>
    <col min="11031" max="11264" width="9" style="130"/>
    <col min="11265" max="11265" width="2" style="130" customWidth="1"/>
    <col min="11266" max="11267" width="2.5703125" style="130" customWidth="1"/>
    <col min="11268" max="11268" width="5.5703125" style="130" bestFit="1" customWidth="1"/>
    <col min="11269" max="11269" width="9.42578125" style="130" bestFit="1" customWidth="1"/>
    <col min="11270" max="11271" width="10.85546875" style="130" bestFit="1" customWidth="1"/>
    <col min="11272" max="11273" width="14.5703125" style="130" bestFit="1" customWidth="1"/>
    <col min="11274" max="11276" width="13.140625" style="130" bestFit="1" customWidth="1"/>
    <col min="11277" max="11277" width="11" style="130" bestFit="1" customWidth="1"/>
    <col min="11278" max="11278" width="10.85546875" style="130" bestFit="1" customWidth="1"/>
    <col min="11279" max="11283" width="13.140625" style="130" customWidth="1"/>
    <col min="11284" max="11284" width="27.28515625" style="130" bestFit="1" customWidth="1"/>
    <col min="11285" max="11285" width="9" style="130"/>
    <col min="11286" max="11286" width="10.28515625" style="130" bestFit="1" customWidth="1"/>
    <col min="11287" max="11520" width="9" style="130"/>
    <col min="11521" max="11521" width="2" style="130" customWidth="1"/>
    <col min="11522" max="11523" width="2.5703125" style="130" customWidth="1"/>
    <col min="11524" max="11524" width="5.5703125" style="130" bestFit="1" customWidth="1"/>
    <col min="11525" max="11525" width="9.42578125" style="130" bestFit="1" customWidth="1"/>
    <col min="11526" max="11527" width="10.85546875" style="130" bestFit="1" customWidth="1"/>
    <col min="11528" max="11529" width="14.5703125" style="130" bestFit="1" customWidth="1"/>
    <col min="11530" max="11532" width="13.140625" style="130" bestFit="1" customWidth="1"/>
    <col min="11533" max="11533" width="11" style="130" bestFit="1" customWidth="1"/>
    <col min="11534" max="11534" width="10.85546875" style="130" bestFit="1" customWidth="1"/>
    <col min="11535" max="11539" width="13.140625" style="130" customWidth="1"/>
    <col min="11540" max="11540" width="27.28515625" style="130" bestFit="1" customWidth="1"/>
    <col min="11541" max="11541" width="9" style="130"/>
    <col min="11542" max="11542" width="10.28515625" style="130" bestFit="1" customWidth="1"/>
    <col min="11543" max="11776" width="9" style="130"/>
    <col min="11777" max="11777" width="2" style="130" customWidth="1"/>
    <col min="11778" max="11779" width="2.5703125" style="130" customWidth="1"/>
    <col min="11780" max="11780" width="5.5703125" style="130" bestFit="1" customWidth="1"/>
    <col min="11781" max="11781" width="9.42578125" style="130" bestFit="1" customWidth="1"/>
    <col min="11782" max="11783" width="10.85546875" style="130" bestFit="1" customWidth="1"/>
    <col min="11784" max="11785" width="14.5703125" style="130" bestFit="1" customWidth="1"/>
    <col min="11786" max="11788" width="13.140625" style="130" bestFit="1" customWidth="1"/>
    <col min="11789" max="11789" width="11" style="130" bestFit="1" customWidth="1"/>
    <col min="11790" max="11790" width="10.85546875" style="130" bestFit="1" customWidth="1"/>
    <col min="11791" max="11795" width="13.140625" style="130" customWidth="1"/>
    <col min="11796" max="11796" width="27.28515625" style="130" bestFit="1" customWidth="1"/>
    <col min="11797" max="11797" width="9" style="130"/>
    <col min="11798" max="11798" width="10.28515625" style="130" bestFit="1" customWidth="1"/>
    <col min="11799" max="12032" width="9" style="130"/>
    <col min="12033" max="12033" width="2" style="130" customWidth="1"/>
    <col min="12034" max="12035" width="2.5703125" style="130" customWidth="1"/>
    <col min="12036" max="12036" width="5.5703125" style="130" bestFit="1" customWidth="1"/>
    <col min="12037" max="12037" width="9.42578125" style="130" bestFit="1" customWidth="1"/>
    <col min="12038" max="12039" width="10.85546875" style="130" bestFit="1" customWidth="1"/>
    <col min="12040" max="12041" width="14.5703125" style="130" bestFit="1" customWidth="1"/>
    <col min="12042" max="12044" width="13.140625" style="130" bestFit="1" customWidth="1"/>
    <col min="12045" max="12045" width="11" style="130" bestFit="1" customWidth="1"/>
    <col min="12046" max="12046" width="10.85546875" style="130" bestFit="1" customWidth="1"/>
    <col min="12047" max="12051" width="13.140625" style="130" customWidth="1"/>
    <col min="12052" max="12052" width="27.28515625" style="130" bestFit="1" customWidth="1"/>
    <col min="12053" max="12053" width="9" style="130"/>
    <col min="12054" max="12054" width="10.28515625" style="130" bestFit="1" customWidth="1"/>
    <col min="12055" max="12288" width="9" style="130"/>
    <col min="12289" max="12289" width="2" style="130" customWidth="1"/>
    <col min="12290" max="12291" width="2.5703125" style="130" customWidth="1"/>
    <col min="12292" max="12292" width="5.5703125" style="130" bestFit="1" customWidth="1"/>
    <col min="12293" max="12293" width="9.42578125" style="130" bestFit="1" customWidth="1"/>
    <col min="12294" max="12295" width="10.85546875" style="130" bestFit="1" customWidth="1"/>
    <col min="12296" max="12297" width="14.5703125" style="130" bestFit="1" customWidth="1"/>
    <col min="12298" max="12300" width="13.140625" style="130" bestFit="1" customWidth="1"/>
    <col min="12301" max="12301" width="11" style="130" bestFit="1" customWidth="1"/>
    <col min="12302" max="12302" width="10.85546875" style="130" bestFit="1" customWidth="1"/>
    <col min="12303" max="12307" width="13.140625" style="130" customWidth="1"/>
    <col min="12308" max="12308" width="27.28515625" style="130" bestFit="1" customWidth="1"/>
    <col min="12309" max="12309" width="9" style="130"/>
    <col min="12310" max="12310" width="10.28515625" style="130" bestFit="1" customWidth="1"/>
    <col min="12311" max="12544" width="9" style="130"/>
    <col min="12545" max="12545" width="2" style="130" customWidth="1"/>
    <col min="12546" max="12547" width="2.5703125" style="130" customWidth="1"/>
    <col min="12548" max="12548" width="5.5703125" style="130" bestFit="1" customWidth="1"/>
    <col min="12549" max="12549" width="9.42578125" style="130" bestFit="1" customWidth="1"/>
    <col min="12550" max="12551" width="10.85546875" style="130" bestFit="1" customWidth="1"/>
    <col min="12552" max="12553" width="14.5703125" style="130" bestFit="1" customWidth="1"/>
    <col min="12554" max="12556" width="13.140625" style="130" bestFit="1" customWidth="1"/>
    <col min="12557" max="12557" width="11" style="130" bestFit="1" customWidth="1"/>
    <col min="12558" max="12558" width="10.85546875" style="130" bestFit="1" customWidth="1"/>
    <col min="12559" max="12563" width="13.140625" style="130" customWidth="1"/>
    <col min="12564" max="12564" width="27.28515625" style="130" bestFit="1" customWidth="1"/>
    <col min="12565" max="12565" width="9" style="130"/>
    <col min="12566" max="12566" width="10.28515625" style="130" bestFit="1" customWidth="1"/>
    <col min="12567" max="12800" width="9" style="130"/>
    <col min="12801" max="12801" width="2" style="130" customWidth="1"/>
    <col min="12802" max="12803" width="2.5703125" style="130" customWidth="1"/>
    <col min="12804" max="12804" width="5.5703125" style="130" bestFit="1" customWidth="1"/>
    <col min="12805" max="12805" width="9.42578125" style="130" bestFit="1" customWidth="1"/>
    <col min="12806" max="12807" width="10.85546875" style="130" bestFit="1" customWidth="1"/>
    <col min="12808" max="12809" width="14.5703125" style="130" bestFit="1" customWidth="1"/>
    <col min="12810" max="12812" width="13.140625" style="130" bestFit="1" customWidth="1"/>
    <col min="12813" max="12813" width="11" style="130" bestFit="1" customWidth="1"/>
    <col min="12814" max="12814" width="10.85546875" style="130" bestFit="1" customWidth="1"/>
    <col min="12815" max="12819" width="13.140625" style="130" customWidth="1"/>
    <col min="12820" max="12820" width="27.28515625" style="130" bestFit="1" customWidth="1"/>
    <col min="12821" max="12821" width="9" style="130"/>
    <col min="12822" max="12822" width="10.28515625" style="130" bestFit="1" customWidth="1"/>
    <col min="12823" max="13056" width="9" style="130"/>
    <col min="13057" max="13057" width="2" style="130" customWidth="1"/>
    <col min="13058" max="13059" width="2.5703125" style="130" customWidth="1"/>
    <col min="13060" max="13060" width="5.5703125" style="130" bestFit="1" customWidth="1"/>
    <col min="13061" max="13061" width="9.42578125" style="130" bestFit="1" customWidth="1"/>
    <col min="13062" max="13063" width="10.85546875" style="130" bestFit="1" customWidth="1"/>
    <col min="13064" max="13065" width="14.5703125" style="130" bestFit="1" customWidth="1"/>
    <col min="13066" max="13068" width="13.140625" style="130" bestFit="1" customWidth="1"/>
    <col min="13069" max="13069" width="11" style="130" bestFit="1" customWidth="1"/>
    <col min="13070" max="13070" width="10.85546875" style="130" bestFit="1" customWidth="1"/>
    <col min="13071" max="13075" width="13.140625" style="130" customWidth="1"/>
    <col min="13076" max="13076" width="27.28515625" style="130" bestFit="1" customWidth="1"/>
    <col min="13077" max="13077" width="9" style="130"/>
    <col min="13078" max="13078" width="10.28515625" style="130" bestFit="1" customWidth="1"/>
    <col min="13079" max="13312" width="9" style="130"/>
    <col min="13313" max="13313" width="2" style="130" customWidth="1"/>
    <col min="13314" max="13315" width="2.5703125" style="130" customWidth="1"/>
    <col min="13316" max="13316" width="5.5703125" style="130" bestFit="1" customWidth="1"/>
    <col min="13317" max="13317" width="9.42578125" style="130" bestFit="1" customWidth="1"/>
    <col min="13318" max="13319" width="10.85546875" style="130" bestFit="1" customWidth="1"/>
    <col min="13320" max="13321" width="14.5703125" style="130" bestFit="1" customWidth="1"/>
    <col min="13322" max="13324" width="13.140625" style="130" bestFit="1" customWidth="1"/>
    <col min="13325" max="13325" width="11" style="130" bestFit="1" customWidth="1"/>
    <col min="13326" max="13326" width="10.85546875" style="130" bestFit="1" customWidth="1"/>
    <col min="13327" max="13331" width="13.140625" style="130" customWidth="1"/>
    <col min="13332" max="13332" width="27.28515625" style="130" bestFit="1" customWidth="1"/>
    <col min="13333" max="13333" width="9" style="130"/>
    <col min="13334" max="13334" width="10.28515625" style="130" bestFit="1" customWidth="1"/>
    <col min="13335" max="13568" width="9" style="130"/>
    <col min="13569" max="13569" width="2" style="130" customWidth="1"/>
    <col min="13570" max="13571" width="2.5703125" style="130" customWidth="1"/>
    <col min="13572" max="13572" width="5.5703125" style="130" bestFit="1" customWidth="1"/>
    <col min="13573" max="13573" width="9.42578125" style="130" bestFit="1" customWidth="1"/>
    <col min="13574" max="13575" width="10.85546875" style="130" bestFit="1" customWidth="1"/>
    <col min="13576" max="13577" width="14.5703125" style="130" bestFit="1" customWidth="1"/>
    <col min="13578" max="13580" width="13.140625" style="130" bestFit="1" customWidth="1"/>
    <col min="13581" max="13581" width="11" style="130" bestFit="1" customWidth="1"/>
    <col min="13582" max="13582" width="10.85546875" style="130" bestFit="1" customWidth="1"/>
    <col min="13583" max="13587" width="13.140625" style="130" customWidth="1"/>
    <col min="13588" max="13588" width="27.28515625" style="130" bestFit="1" customWidth="1"/>
    <col min="13589" max="13589" width="9" style="130"/>
    <col min="13590" max="13590" width="10.28515625" style="130" bestFit="1" customWidth="1"/>
    <col min="13591" max="13824" width="9" style="130"/>
    <col min="13825" max="13825" width="2" style="130" customWidth="1"/>
    <col min="13826" max="13827" width="2.5703125" style="130" customWidth="1"/>
    <col min="13828" max="13828" width="5.5703125" style="130" bestFit="1" customWidth="1"/>
    <col min="13829" max="13829" width="9.42578125" style="130" bestFit="1" customWidth="1"/>
    <col min="13830" max="13831" width="10.85546875" style="130" bestFit="1" customWidth="1"/>
    <col min="13832" max="13833" width="14.5703125" style="130" bestFit="1" customWidth="1"/>
    <col min="13834" max="13836" width="13.140625" style="130" bestFit="1" customWidth="1"/>
    <col min="13837" max="13837" width="11" style="130" bestFit="1" customWidth="1"/>
    <col min="13838" max="13838" width="10.85546875" style="130" bestFit="1" customWidth="1"/>
    <col min="13839" max="13843" width="13.140625" style="130" customWidth="1"/>
    <col min="13844" max="13844" width="27.28515625" style="130" bestFit="1" customWidth="1"/>
    <col min="13845" max="13845" width="9" style="130"/>
    <col min="13846" max="13846" width="10.28515625" style="130" bestFit="1" customWidth="1"/>
    <col min="13847" max="14080" width="9" style="130"/>
    <col min="14081" max="14081" width="2" style="130" customWidth="1"/>
    <col min="14082" max="14083" width="2.5703125" style="130" customWidth="1"/>
    <col min="14084" max="14084" width="5.5703125" style="130" bestFit="1" customWidth="1"/>
    <col min="14085" max="14085" width="9.42578125" style="130" bestFit="1" customWidth="1"/>
    <col min="14086" max="14087" width="10.85546875" style="130" bestFit="1" customWidth="1"/>
    <col min="14088" max="14089" width="14.5703125" style="130" bestFit="1" customWidth="1"/>
    <col min="14090" max="14092" width="13.140625" style="130" bestFit="1" customWidth="1"/>
    <col min="14093" max="14093" width="11" style="130" bestFit="1" customWidth="1"/>
    <col min="14094" max="14094" width="10.85546875" style="130" bestFit="1" customWidth="1"/>
    <col min="14095" max="14099" width="13.140625" style="130" customWidth="1"/>
    <col min="14100" max="14100" width="27.28515625" style="130" bestFit="1" customWidth="1"/>
    <col min="14101" max="14101" width="9" style="130"/>
    <col min="14102" max="14102" width="10.28515625" style="130" bestFit="1" customWidth="1"/>
    <col min="14103" max="14336" width="9" style="130"/>
    <col min="14337" max="14337" width="2" style="130" customWidth="1"/>
    <col min="14338" max="14339" width="2.5703125" style="130" customWidth="1"/>
    <col min="14340" max="14340" width="5.5703125" style="130" bestFit="1" customWidth="1"/>
    <col min="14341" max="14341" width="9.42578125" style="130" bestFit="1" customWidth="1"/>
    <col min="14342" max="14343" width="10.85546875" style="130" bestFit="1" customWidth="1"/>
    <col min="14344" max="14345" width="14.5703125" style="130" bestFit="1" customWidth="1"/>
    <col min="14346" max="14348" width="13.140625" style="130" bestFit="1" customWidth="1"/>
    <col min="14349" max="14349" width="11" style="130" bestFit="1" customWidth="1"/>
    <col min="14350" max="14350" width="10.85546875" style="130" bestFit="1" customWidth="1"/>
    <col min="14351" max="14355" width="13.140625" style="130" customWidth="1"/>
    <col min="14356" max="14356" width="27.28515625" style="130" bestFit="1" customWidth="1"/>
    <col min="14357" max="14357" width="9" style="130"/>
    <col min="14358" max="14358" width="10.28515625" style="130" bestFit="1" customWidth="1"/>
    <col min="14359" max="14592" width="9" style="130"/>
    <col min="14593" max="14593" width="2" style="130" customWidth="1"/>
    <col min="14594" max="14595" width="2.5703125" style="130" customWidth="1"/>
    <col min="14596" max="14596" width="5.5703125" style="130" bestFit="1" customWidth="1"/>
    <col min="14597" max="14597" width="9.42578125" style="130" bestFit="1" customWidth="1"/>
    <col min="14598" max="14599" width="10.85546875" style="130" bestFit="1" customWidth="1"/>
    <col min="14600" max="14601" width="14.5703125" style="130" bestFit="1" customWidth="1"/>
    <col min="14602" max="14604" width="13.140625" style="130" bestFit="1" customWidth="1"/>
    <col min="14605" max="14605" width="11" style="130" bestFit="1" customWidth="1"/>
    <col min="14606" max="14606" width="10.85546875" style="130" bestFit="1" customWidth="1"/>
    <col min="14607" max="14611" width="13.140625" style="130" customWidth="1"/>
    <col min="14612" max="14612" width="27.28515625" style="130" bestFit="1" customWidth="1"/>
    <col min="14613" max="14613" width="9" style="130"/>
    <col min="14614" max="14614" width="10.28515625" style="130" bestFit="1" customWidth="1"/>
    <col min="14615" max="14848" width="9" style="130"/>
    <col min="14849" max="14849" width="2" style="130" customWidth="1"/>
    <col min="14850" max="14851" width="2.5703125" style="130" customWidth="1"/>
    <col min="14852" max="14852" width="5.5703125" style="130" bestFit="1" customWidth="1"/>
    <col min="14853" max="14853" width="9.42578125" style="130" bestFit="1" customWidth="1"/>
    <col min="14854" max="14855" width="10.85546875" style="130" bestFit="1" customWidth="1"/>
    <col min="14856" max="14857" width="14.5703125" style="130" bestFit="1" customWidth="1"/>
    <col min="14858" max="14860" width="13.140625" style="130" bestFit="1" customWidth="1"/>
    <col min="14861" max="14861" width="11" style="130" bestFit="1" customWidth="1"/>
    <col min="14862" max="14862" width="10.85546875" style="130" bestFit="1" customWidth="1"/>
    <col min="14863" max="14867" width="13.140625" style="130" customWidth="1"/>
    <col min="14868" max="14868" width="27.28515625" style="130" bestFit="1" customWidth="1"/>
    <col min="14869" max="14869" width="9" style="130"/>
    <col min="14870" max="14870" width="10.28515625" style="130" bestFit="1" customWidth="1"/>
    <col min="14871" max="15104" width="9" style="130"/>
    <col min="15105" max="15105" width="2" style="130" customWidth="1"/>
    <col min="15106" max="15107" width="2.5703125" style="130" customWidth="1"/>
    <col min="15108" max="15108" width="5.5703125" style="130" bestFit="1" customWidth="1"/>
    <col min="15109" max="15109" width="9.42578125" style="130" bestFit="1" customWidth="1"/>
    <col min="15110" max="15111" width="10.85546875" style="130" bestFit="1" customWidth="1"/>
    <col min="15112" max="15113" width="14.5703125" style="130" bestFit="1" customWidth="1"/>
    <col min="15114" max="15116" width="13.140625" style="130" bestFit="1" customWidth="1"/>
    <col min="15117" max="15117" width="11" style="130" bestFit="1" customWidth="1"/>
    <col min="15118" max="15118" width="10.85546875" style="130" bestFit="1" customWidth="1"/>
    <col min="15119" max="15123" width="13.140625" style="130" customWidth="1"/>
    <col min="15124" max="15124" width="27.28515625" style="130" bestFit="1" customWidth="1"/>
    <col min="15125" max="15125" width="9" style="130"/>
    <col min="15126" max="15126" width="10.28515625" style="130" bestFit="1" customWidth="1"/>
    <col min="15127" max="15360" width="9" style="130"/>
    <col min="15361" max="15361" width="2" style="130" customWidth="1"/>
    <col min="15362" max="15363" width="2.5703125" style="130" customWidth="1"/>
    <col min="15364" max="15364" width="5.5703125" style="130" bestFit="1" customWidth="1"/>
    <col min="15365" max="15365" width="9.42578125" style="130" bestFit="1" customWidth="1"/>
    <col min="15366" max="15367" width="10.85546875" style="130" bestFit="1" customWidth="1"/>
    <col min="15368" max="15369" width="14.5703125" style="130" bestFit="1" customWidth="1"/>
    <col min="15370" max="15372" width="13.140625" style="130" bestFit="1" customWidth="1"/>
    <col min="15373" max="15373" width="11" style="130" bestFit="1" customWidth="1"/>
    <col min="15374" max="15374" width="10.85546875" style="130" bestFit="1" customWidth="1"/>
    <col min="15375" max="15379" width="13.140625" style="130" customWidth="1"/>
    <col min="15380" max="15380" width="27.28515625" style="130" bestFit="1" customWidth="1"/>
    <col min="15381" max="15381" width="9" style="130"/>
    <col min="15382" max="15382" width="10.28515625" style="130" bestFit="1" customWidth="1"/>
    <col min="15383" max="15616" width="9" style="130"/>
    <col min="15617" max="15617" width="2" style="130" customWidth="1"/>
    <col min="15618" max="15619" width="2.5703125" style="130" customWidth="1"/>
    <col min="15620" max="15620" width="5.5703125" style="130" bestFit="1" customWidth="1"/>
    <col min="15621" max="15621" width="9.42578125" style="130" bestFit="1" customWidth="1"/>
    <col min="15622" max="15623" width="10.85546875" style="130" bestFit="1" customWidth="1"/>
    <col min="15624" max="15625" width="14.5703125" style="130" bestFit="1" customWidth="1"/>
    <col min="15626" max="15628" width="13.140625" style="130" bestFit="1" customWidth="1"/>
    <col min="15629" max="15629" width="11" style="130" bestFit="1" customWidth="1"/>
    <col min="15630" max="15630" width="10.85546875" style="130" bestFit="1" customWidth="1"/>
    <col min="15631" max="15635" width="13.140625" style="130" customWidth="1"/>
    <col min="15636" max="15636" width="27.28515625" style="130" bestFit="1" customWidth="1"/>
    <col min="15637" max="15637" width="9" style="130"/>
    <col min="15638" max="15638" width="10.28515625" style="130" bestFit="1" customWidth="1"/>
    <col min="15639" max="15872" width="9" style="130"/>
    <col min="15873" max="15873" width="2" style="130" customWidth="1"/>
    <col min="15874" max="15875" width="2.5703125" style="130" customWidth="1"/>
    <col min="15876" max="15876" width="5.5703125" style="130" bestFit="1" customWidth="1"/>
    <col min="15877" max="15877" width="9.42578125" style="130" bestFit="1" customWidth="1"/>
    <col min="15878" max="15879" width="10.85546875" style="130" bestFit="1" customWidth="1"/>
    <col min="15880" max="15881" width="14.5703125" style="130" bestFit="1" customWidth="1"/>
    <col min="15882" max="15884" width="13.140625" style="130" bestFit="1" customWidth="1"/>
    <col min="15885" max="15885" width="11" style="130" bestFit="1" customWidth="1"/>
    <col min="15886" max="15886" width="10.85546875" style="130" bestFit="1" customWidth="1"/>
    <col min="15887" max="15891" width="13.140625" style="130" customWidth="1"/>
    <col min="15892" max="15892" width="27.28515625" style="130" bestFit="1" customWidth="1"/>
    <col min="15893" max="15893" width="9" style="130"/>
    <col min="15894" max="15894" width="10.28515625" style="130" bestFit="1" customWidth="1"/>
    <col min="15895" max="16128" width="9" style="130"/>
    <col min="16129" max="16129" width="2" style="130" customWidth="1"/>
    <col min="16130" max="16131" width="2.5703125" style="130" customWidth="1"/>
    <col min="16132" max="16132" width="5.5703125" style="130" bestFit="1" customWidth="1"/>
    <col min="16133" max="16133" width="9.42578125" style="130" bestFit="1" customWidth="1"/>
    <col min="16134" max="16135" width="10.85546875" style="130" bestFit="1" customWidth="1"/>
    <col min="16136" max="16137" width="14.5703125" style="130" bestFit="1" customWidth="1"/>
    <col min="16138" max="16140" width="13.140625" style="130" bestFit="1" customWidth="1"/>
    <col min="16141" max="16141" width="11" style="130" bestFit="1" customWidth="1"/>
    <col min="16142" max="16142" width="10.85546875" style="130" bestFit="1" customWidth="1"/>
    <col min="16143" max="16147" width="13.140625" style="130" customWidth="1"/>
    <col min="16148" max="16148" width="27.28515625" style="130" bestFit="1" customWidth="1"/>
    <col min="16149" max="16149" width="9" style="130"/>
    <col min="16150" max="16150" width="10.28515625" style="130" bestFit="1" customWidth="1"/>
    <col min="16151" max="16384" width="9" style="130"/>
  </cols>
  <sheetData>
    <row r="1" spans="2:22" ht="23.25">
      <c r="B1" s="351" t="s">
        <v>87</v>
      </c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</row>
    <row r="2" spans="2:22">
      <c r="T2" s="131" t="s">
        <v>88</v>
      </c>
    </row>
    <row r="3" spans="2:22" ht="21" customHeight="1">
      <c r="B3" s="352" t="s">
        <v>89</v>
      </c>
      <c r="C3" s="353"/>
      <c r="D3" s="353"/>
      <c r="E3" s="354"/>
      <c r="F3" s="361" t="s">
        <v>90</v>
      </c>
      <c r="G3" s="362"/>
      <c r="H3" s="362"/>
      <c r="I3" s="362"/>
      <c r="J3" s="362"/>
      <c r="K3" s="362"/>
      <c r="L3" s="363"/>
      <c r="M3" s="364" t="s">
        <v>91</v>
      </c>
      <c r="N3" s="365"/>
      <c r="O3" s="352" t="s">
        <v>92</v>
      </c>
      <c r="P3" s="353"/>
      <c r="Q3" s="353"/>
      <c r="R3" s="353"/>
      <c r="S3" s="366"/>
      <c r="T3" s="367" t="s">
        <v>93</v>
      </c>
    </row>
    <row r="4" spans="2:22" ht="21" customHeight="1">
      <c r="B4" s="355"/>
      <c r="C4" s="356"/>
      <c r="D4" s="356"/>
      <c r="E4" s="357"/>
      <c r="F4" s="370" t="s">
        <v>94</v>
      </c>
      <c r="G4" s="372" t="s">
        <v>95</v>
      </c>
      <c r="H4" s="372" t="s">
        <v>96</v>
      </c>
      <c r="I4" s="372" t="s">
        <v>97</v>
      </c>
      <c r="J4" s="375" t="s">
        <v>98</v>
      </c>
      <c r="K4" s="375" t="s">
        <v>39</v>
      </c>
      <c r="L4" s="375" t="s">
        <v>40</v>
      </c>
      <c r="M4" s="132" t="s">
        <v>99</v>
      </c>
      <c r="N4" s="133" t="s">
        <v>100</v>
      </c>
      <c r="O4" s="134" t="s">
        <v>101</v>
      </c>
      <c r="P4" s="134" t="s">
        <v>86</v>
      </c>
      <c r="Q4" s="135" t="s">
        <v>102</v>
      </c>
      <c r="R4" s="135" t="s">
        <v>103</v>
      </c>
      <c r="S4" s="133" t="s">
        <v>104</v>
      </c>
      <c r="T4" s="368"/>
    </row>
    <row r="5" spans="2:22" ht="12.75" customHeight="1" thickBot="1">
      <c r="B5" s="358"/>
      <c r="C5" s="359"/>
      <c r="D5" s="359"/>
      <c r="E5" s="360"/>
      <c r="F5" s="371"/>
      <c r="G5" s="373"/>
      <c r="H5" s="374"/>
      <c r="I5" s="374"/>
      <c r="J5" s="374"/>
      <c r="K5" s="374"/>
      <c r="L5" s="374"/>
      <c r="M5" s="136"/>
      <c r="N5" s="137"/>
      <c r="O5" s="138"/>
      <c r="P5" s="138"/>
      <c r="Q5" s="139"/>
      <c r="R5" s="139"/>
      <c r="S5" s="140"/>
      <c r="T5" s="369"/>
    </row>
    <row r="6" spans="2:22" ht="32.25" customHeight="1">
      <c r="B6" s="388"/>
      <c r="C6" s="388"/>
      <c r="D6" s="390" t="s">
        <v>105</v>
      </c>
      <c r="E6" s="141" t="s">
        <v>106</v>
      </c>
      <c r="F6" s="142">
        <v>3980</v>
      </c>
      <c r="G6" s="143">
        <f>H6*0.85</f>
        <v>3884.5</v>
      </c>
      <c r="H6" s="143">
        <v>4570</v>
      </c>
      <c r="I6" s="143">
        <v>5600</v>
      </c>
      <c r="J6" s="144">
        <v>6400</v>
      </c>
      <c r="K6" s="144">
        <v>8300</v>
      </c>
      <c r="L6" s="145">
        <v>11000</v>
      </c>
      <c r="M6" s="146">
        <f>H9</f>
        <v>5270</v>
      </c>
      <c r="N6" s="145">
        <f>I9</f>
        <v>6300</v>
      </c>
      <c r="O6" s="142">
        <v>10000</v>
      </c>
      <c r="P6" s="142">
        <v>14000</v>
      </c>
      <c r="Q6" s="143">
        <v>18800</v>
      </c>
      <c r="R6" s="143">
        <v>30600</v>
      </c>
      <c r="S6" s="147">
        <v>40400</v>
      </c>
      <c r="T6" s="148"/>
      <c r="V6" s="149">
        <f>'[3]임금표(2017)'!I6*1.04</f>
        <v>5241.6000000000004</v>
      </c>
    </row>
    <row r="7" spans="2:22" ht="32.25" customHeight="1">
      <c r="B7" s="389"/>
      <c r="C7" s="389"/>
      <c r="D7" s="390"/>
      <c r="E7" s="150" t="s">
        <v>107</v>
      </c>
      <c r="F7" s="151"/>
      <c r="G7" s="152">
        <v>350</v>
      </c>
      <c r="H7" s="152">
        <v>350</v>
      </c>
      <c r="I7" s="152">
        <v>350</v>
      </c>
      <c r="J7" s="153">
        <v>500</v>
      </c>
      <c r="K7" s="153">
        <v>700</v>
      </c>
      <c r="L7" s="154">
        <v>1000</v>
      </c>
      <c r="M7" s="155"/>
      <c r="N7" s="154"/>
      <c r="O7" s="151"/>
      <c r="P7" s="151"/>
      <c r="Q7" s="152"/>
      <c r="R7" s="152"/>
      <c r="S7" s="156"/>
      <c r="T7" s="157"/>
    </row>
    <row r="8" spans="2:22" ht="32.25" customHeight="1">
      <c r="B8" s="389"/>
      <c r="C8" s="389"/>
      <c r="D8" s="391"/>
      <c r="E8" s="158" t="s">
        <v>108</v>
      </c>
      <c r="F8" s="159"/>
      <c r="G8" s="160">
        <v>350</v>
      </c>
      <c r="H8" s="160">
        <v>350</v>
      </c>
      <c r="I8" s="160">
        <v>350</v>
      </c>
      <c r="J8" s="161">
        <v>500</v>
      </c>
      <c r="K8" s="161">
        <v>700</v>
      </c>
      <c r="L8" s="162">
        <v>1000</v>
      </c>
      <c r="M8" s="163"/>
      <c r="N8" s="162"/>
      <c r="O8" s="164"/>
      <c r="P8" s="164"/>
      <c r="Q8" s="165"/>
      <c r="R8" s="165"/>
      <c r="S8" s="166"/>
      <c r="T8" s="167"/>
      <c r="V8" s="168"/>
    </row>
    <row r="9" spans="2:22" ht="32.25" customHeight="1">
      <c r="B9" s="389"/>
      <c r="C9" s="389"/>
      <c r="D9" s="392"/>
      <c r="E9" s="169" t="s">
        <v>109</v>
      </c>
      <c r="F9" s="151">
        <f t="shared" ref="F9:S9" si="0">SUM(F6:F8)</f>
        <v>3980</v>
      </c>
      <c r="G9" s="152">
        <f t="shared" si="0"/>
        <v>4584.5</v>
      </c>
      <c r="H9" s="152">
        <f t="shared" si="0"/>
        <v>5270</v>
      </c>
      <c r="I9" s="152">
        <f>SUM(I6:I8)</f>
        <v>6300</v>
      </c>
      <c r="J9" s="153">
        <f t="shared" si="0"/>
        <v>7400</v>
      </c>
      <c r="K9" s="153">
        <f t="shared" si="0"/>
        <v>9700</v>
      </c>
      <c r="L9" s="154">
        <f>SUM(L6:L8)</f>
        <v>13000</v>
      </c>
      <c r="M9" s="155">
        <f t="shared" si="0"/>
        <v>5270</v>
      </c>
      <c r="N9" s="154">
        <f t="shared" si="0"/>
        <v>6300</v>
      </c>
      <c r="O9" s="151">
        <f t="shared" si="0"/>
        <v>10000</v>
      </c>
      <c r="P9" s="151">
        <f>SUM(P6:P8)</f>
        <v>14000</v>
      </c>
      <c r="Q9" s="152">
        <f t="shared" si="0"/>
        <v>18800</v>
      </c>
      <c r="R9" s="152">
        <f t="shared" si="0"/>
        <v>30600</v>
      </c>
      <c r="S9" s="156">
        <f t="shared" si="0"/>
        <v>40400</v>
      </c>
      <c r="T9" s="157"/>
    </row>
    <row r="10" spans="2:22" ht="32.25" customHeight="1">
      <c r="B10" s="389"/>
      <c r="C10" s="389"/>
      <c r="D10" s="393" t="s">
        <v>110</v>
      </c>
      <c r="E10" s="394"/>
      <c r="F10" s="170">
        <f>(F9/209)*((20*1.5)+(10*2))</f>
        <v>952.15311004784689</v>
      </c>
      <c r="G10" s="171">
        <f t="shared" ref="G10:S10" si="1">(G9/209)*((20*1.5)+(10*2))</f>
        <v>1096.7703349282297</v>
      </c>
      <c r="H10" s="171">
        <f t="shared" si="1"/>
        <v>1260.7655502392345</v>
      </c>
      <c r="I10" s="171">
        <f t="shared" si="1"/>
        <v>1507.1770334928231</v>
      </c>
      <c r="J10" s="172">
        <f t="shared" si="1"/>
        <v>1770.3349282296649</v>
      </c>
      <c r="K10" s="172">
        <f t="shared" si="1"/>
        <v>2320.5741626794256</v>
      </c>
      <c r="L10" s="173">
        <f t="shared" si="1"/>
        <v>3110.0478468899519</v>
      </c>
      <c r="M10" s="174">
        <f t="shared" si="1"/>
        <v>1260.7655502392345</v>
      </c>
      <c r="N10" s="173">
        <f t="shared" si="1"/>
        <v>1507.1770334928231</v>
      </c>
      <c r="O10" s="175">
        <f t="shared" si="1"/>
        <v>2392.3444976076557</v>
      </c>
      <c r="P10" s="175">
        <f>(P9/209)*((20*1.5)+(10*2))</f>
        <v>3349.2822966507179</v>
      </c>
      <c r="Q10" s="171">
        <f t="shared" si="1"/>
        <v>4497.6076555023919</v>
      </c>
      <c r="R10" s="171">
        <f t="shared" si="1"/>
        <v>7320.5741626794261</v>
      </c>
      <c r="S10" s="171">
        <f t="shared" si="1"/>
        <v>9665.0717703349292</v>
      </c>
      <c r="T10" s="176" t="s">
        <v>111</v>
      </c>
    </row>
    <row r="11" spans="2:22" ht="32.25" customHeight="1">
      <c r="B11" s="389"/>
      <c r="C11" s="395" t="s">
        <v>112</v>
      </c>
      <c r="D11" s="396"/>
      <c r="E11" s="397"/>
      <c r="F11" s="177">
        <f>F9+F10</f>
        <v>4932.1531100478469</v>
      </c>
      <c r="G11" s="178">
        <f t="shared" ref="G11:S11" si="2">G9+G10</f>
        <v>5681.2703349282292</v>
      </c>
      <c r="H11" s="178">
        <f t="shared" si="2"/>
        <v>6530.7655502392345</v>
      </c>
      <c r="I11" s="178">
        <f t="shared" si="2"/>
        <v>7807.1770334928233</v>
      </c>
      <c r="J11" s="179">
        <f t="shared" si="2"/>
        <v>9170.3349282296658</v>
      </c>
      <c r="K11" s="179">
        <f t="shared" si="2"/>
        <v>12020.574162679426</v>
      </c>
      <c r="L11" s="180">
        <f t="shared" si="2"/>
        <v>16110.047846889953</v>
      </c>
      <c r="M11" s="181">
        <f t="shared" si="2"/>
        <v>6530.7655502392345</v>
      </c>
      <c r="N11" s="180">
        <f t="shared" si="2"/>
        <v>7807.1770334928233</v>
      </c>
      <c r="O11" s="177">
        <f t="shared" si="2"/>
        <v>12392.344497607655</v>
      </c>
      <c r="P11" s="177">
        <f>P9+P10</f>
        <v>17349.282296650719</v>
      </c>
      <c r="Q11" s="178">
        <f t="shared" si="2"/>
        <v>23297.60765550239</v>
      </c>
      <c r="R11" s="178">
        <f t="shared" si="2"/>
        <v>37920.574162679426</v>
      </c>
      <c r="S11" s="182">
        <f t="shared" si="2"/>
        <v>50065.071770334929</v>
      </c>
      <c r="T11" s="183"/>
    </row>
    <row r="12" spans="2:22" ht="32.25" customHeight="1">
      <c r="B12" s="389"/>
      <c r="C12" s="398"/>
      <c r="D12" s="399" t="s">
        <v>113</v>
      </c>
      <c r="E12" s="400"/>
      <c r="F12" s="184">
        <f>F9*17.5%</f>
        <v>696.5</v>
      </c>
      <c r="G12" s="185">
        <f t="shared" ref="G12:S12" si="3">G9*17.5%</f>
        <v>802.28749999999991</v>
      </c>
      <c r="H12" s="185">
        <f t="shared" si="3"/>
        <v>922.24999999999989</v>
      </c>
      <c r="I12" s="185">
        <f t="shared" si="3"/>
        <v>1102.5</v>
      </c>
      <c r="J12" s="186">
        <f t="shared" si="3"/>
        <v>1295</v>
      </c>
      <c r="K12" s="186">
        <f t="shared" si="3"/>
        <v>1697.5</v>
      </c>
      <c r="L12" s="187">
        <f t="shared" si="3"/>
        <v>2275</v>
      </c>
      <c r="M12" s="188">
        <f t="shared" si="3"/>
        <v>922.24999999999989</v>
      </c>
      <c r="N12" s="187">
        <f t="shared" si="3"/>
        <v>1102.5</v>
      </c>
      <c r="O12" s="184">
        <f t="shared" si="3"/>
        <v>1750</v>
      </c>
      <c r="P12" s="184">
        <f>P9*17.5%</f>
        <v>2450</v>
      </c>
      <c r="Q12" s="185">
        <f t="shared" si="3"/>
        <v>3290</v>
      </c>
      <c r="R12" s="185">
        <f t="shared" si="3"/>
        <v>5355</v>
      </c>
      <c r="S12" s="187">
        <f t="shared" si="3"/>
        <v>7070</v>
      </c>
      <c r="T12" s="189" t="s">
        <v>114</v>
      </c>
    </row>
    <row r="13" spans="2:22" ht="32.25" customHeight="1">
      <c r="B13" s="389"/>
      <c r="C13" s="389"/>
      <c r="D13" s="381" t="s">
        <v>115</v>
      </c>
      <c r="E13" s="382"/>
      <c r="F13" s="190">
        <f>F9*3%</f>
        <v>119.39999999999999</v>
      </c>
      <c r="G13" s="191">
        <f t="shared" ref="G13:S13" si="4">G9*3%</f>
        <v>137.535</v>
      </c>
      <c r="H13" s="191">
        <f t="shared" si="4"/>
        <v>158.1</v>
      </c>
      <c r="I13" s="191">
        <f t="shared" si="4"/>
        <v>189</v>
      </c>
      <c r="J13" s="192">
        <f t="shared" si="4"/>
        <v>222</v>
      </c>
      <c r="K13" s="192">
        <f t="shared" si="4"/>
        <v>291</v>
      </c>
      <c r="L13" s="193">
        <f t="shared" si="4"/>
        <v>390</v>
      </c>
      <c r="M13" s="194">
        <f t="shared" si="4"/>
        <v>158.1</v>
      </c>
      <c r="N13" s="193">
        <f t="shared" si="4"/>
        <v>189</v>
      </c>
      <c r="O13" s="190">
        <f t="shared" si="4"/>
        <v>300</v>
      </c>
      <c r="P13" s="190">
        <f>P9*3%</f>
        <v>420</v>
      </c>
      <c r="Q13" s="191">
        <f t="shared" si="4"/>
        <v>564</v>
      </c>
      <c r="R13" s="191">
        <f t="shared" si="4"/>
        <v>918</v>
      </c>
      <c r="S13" s="193">
        <f t="shared" si="4"/>
        <v>1212</v>
      </c>
      <c r="T13" s="195" t="s">
        <v>116</v>
      </c>
    </row>
    <row r="14" spans="2:22" ht="32.25" customHeight="1">
      <c r="B14" s="389"/>
      <c r="C14" s="389"/>
      <c r="D14" s="383" t="s">
        <v>117</v>
      </c>
      <c r="E14" s="384"/>
      <c r="F14" s="164">
        <f>F9*1%</f>
        <v>39.800000000000004</v>
      </c>
      <c r="G14" s="165">
        <f t="shared" ref="G14:S14" si="5">G9*1%</f>
        <v>45.844999999999999</v>
      </c>
      <c r="H14" s="165">
        <f t="shared" si="5"/>
        <v>52.7</v>
      </c>
      <c r="I14" s="165">
        <f t="shared" si="5"/>
        <v>63</v>
      </c>
      <c r="J14" s="161">
        <f t="shared" si="5"/>
        <v>74</v>
      </c>
      <c r="K14" s="161">
        <f t="shared" si="5"/>
        <v>97</v>
      </c>
      <c r="L14" s="162">
        <f t="shared" si="5"/>
        <v>130</v>
      </c>
      <c r="M14" s="196">
        <f t="shared" si="5"/>
        <v>52.7</v>
      </c>
      <c r="N14" s="162">
        <f t="shared" si="5"/>
        <v>63</v>
      </c>
      <c r="O14" s="164">
        <f t="shared" si="5"/>
        <v>100</v>
      </c>
      <c r="P14" s="164">
        <f>P9*1%</f>
        <v>140</v>
      </c>
      <c r="Q14" s="165">
        <f t="shared" si="5"/>
        <v>188</v>
      </c>
      <c r="R14" s="165">
        <f t="shared" si="5"/>
        <v>306</v>
      </c>
      <c r="S14" s="162">
        <f t="shared" si="5"/>
        <v>404</v>
      </c>
      <c r="T14" s="197" t="s">
        <v>118</v>
      </c>
    </row>
    <row r="15" spans="2:22" ht="32.25" customHeight="1">
      <c r="B15" s="389"/>
      <c r="C15" s="385" t="s">
        <v>119</v>
      </c>
      <c r="D15" s="386"/>
      <c r="E15" s="387"/>
      <c r="F15" s="198">
        <f>SUM(F12:F14)</f>
        <v>855.69999999999993</v>
      </c>
      <c r="G15" s="199">
        <f t="shared" ref="G15:S15" si="6">SUM(G12:G14)</f>
        <v>985.6674999999999</v>
      </c>
      <c r="H15" s="199">
        <f t="shared" si="6"/>
        <v>1133.05</v>
      </c>
      <c r="I15" s="199">
        <f t="shared" si="6"/>
        <v>1354.5</v>
      </c>
      <c r="J15" s="200">
        <f t="shared" si="6"/>
        <v>1591</v>
      </c>
      <c r="K15" s="200">
        <f t="shared" si="6"/>
        <v>2085.5</v>
      </c>
      <c r="L15" s="201">
        <f t="shared" si="6"/>
        <v>2795</v>
      </c>
      <c r="M15" s="202">
        <f t="shared" si="6"/>
        <v>1133.05</v>
      </c>
      <c r="N15" s="201">
        <f t="shared" si="6"/>
        <v>1354.5</v>
      </c>
      <c r="O15" s="198">
        <f t="shared" si="6"/>
        <v>2150</v>
      </c>
      <c r="P15" s="198">
        <f>SUM(P12:P14)</f>
        <v>3010</v>
      </c>
      <c r="Q15" s="199">
        <f t="shared" si="6"/>
        <v>4042</v>
      </c>
      <c r="R15" s="199">
        <f t="shared" si="6"/>
        <v>6579</v>
      </c>
      <c r="S15" s="203">
        <f t="shared" si="6"/>
        <v>8686</v>
      </c>
      <c r="T15" s="204"/>
    </row>
    <row r="16" spans="2:22" ht="32.25" customHeight="1">
      <c r="B16" s="385" t="s">
        <v>120</v>
      </c>
      <c r="C16" s="377"/>
      <c r="D16" s="377"/>
      <c r="E16" s="378"/>
      <c r="F16" s="205">
        <f>F9+F10+F15</f>
        <v>5787.8531100478467</v>
      </c>
      <c r="G16" s="206">
        <f t="shared" ref="G16:S16" si="7">G9+G10+G15</f>
        <v>6666.9378349282288</v>
      </c>
      <c r="H16" s="206">
        <f t="shared" si="7"/>
        <v>7663.8155502392347</v>
      </c>
      <c r="I16" s="206">
        <f t="shared" si="7"/>
        <v>9161.6770334928224</v>
      </c>
      <c r="J16" s="207">
        <f t="shared" si="7"/>
        <v>10761.334928229666</v>
      </c>
      <c r="K16" s="207">
        <f t="shared" si="7"/>
        <v>14106.074162679426</v>
      </c>
      <c r="L16" s="208">
        <f t="shared" si="7"/>
        <v>18905.047846889953</v>
      </c>
      <c r="M16" s="209">
        <f t="shared" si="7"/>
        <v>7663.8155502392347</v>
      </c>
      <c r="N16" s="208">
        <f t="shared" si="7"/>
        <v>9161.6770334928224</v>
      </c>
      <c r="O16" s="205">
        <f t="shared" si="7"/>
        <v>14542.344497607655</v>
      </c>
      <c r="P16" s="205">
        <f>P9+P10+P15</f>
        <v>20359.282296650719</v>
      </c>
      <c r="Q16" s="206">
        <f t="shared" si="7"/>
        <v>27339.60765550239</v>
      </c>
      <c r="R16" s="206">
        <f t="shared" si="7"/>
        <v>44499.574162679426</v>
      </c>
      <c r="S16" s="210">
        <f t="shared" si="7"/>
        <v>58751.071770334929</v>
      </c>
      <c r="T16" s="211"/>
    </row>
    <row r="17" spans="2:20" ht="32.25" customHeight="1">
      <c r="B17" s="376" t="s">
        <v>121</v>
      </c>
      <c r="C17" s="377"/>
      <c r="D17" s="377"/>
      <c r="E17" s="378"/>
      <c r="F17" s="212">
        <v>3000</v>
      </c>
      <c r="G17" s="213">
        <v>3000</v>
      </c>
      <c r="H17" s="213">
        <v>3000</v>
      </c>
      <c r="I17" s="213">
        <v>3000</v>
      </c>
      <c r="J17" s="214">
        <v>3000</v>
      </c>
      <c r="K17" s="214">
        <v>3000</v>
      </c>
      <c r="L17" s="215">
        <v>3000</v>
      </c>
      <c r="M17" s="216">
        <v>3000</v>
      </c>
      <c r="N17" s="215">
        <v>3000</v>
      </c>
      <c r="O17" s="217">
        <v>3000</v>
      </c>
      <c r="P17" s="217">
        <v>3001</v>
      </c>
      <c r="Q17" s="213">
        <v>3000</v>
      </c>
      <c r="R17" s="213">
        <v>3000</v>
      </c>
      <c r="S17" s="218">
        <v>3000</v>
      </c>
      <c r="T17" s="176" t="s">
        <v>122</v>
      </c>
    </row>
    <row r="18" spans="2:20" ht="32.25" customHeight="1">
      <c r="B18" s="376" t="s">
        <v>123</v>
      </c>
      <c r="C18" s="377"/>
      <c r="D18" s="377"/>
      <c r="E18" s="378"/>
      <c r="F18" s="175">
        <f>F6+500</f>
        <v>4480</v>
      </c>
      <c r="G18" s="171">
        <f t="shared" ref="G18:S18" si="8">G6+500</f>
        <v>4384.5</v>
      </c>
      <c r="H18" s="171">
        <f t="shared" si="8"/>
        <v>5070</v>
      </c>
      <c r="I18" s="171">
        <f t="shared" si="8"/>
        <v>6100</v>
      </c>
      <c r="J18" s="172">
        <f t="shared" si="8"/>
        <v>6900</v>
      </c>
      <c r="K18" s="172">
        <f t="shared" si="8"/>
        <v>8800</v>
      </c>
      <c r="L18" s="173">
        <f t="shared" si="8"/>
        <v>11500</v>
      </c>
      <c r="M18" s="174">
        <f t="shared" si="8"/>
        <v>5770</v>
      </c>
      <c r="N18" s="173">
        <f t="shared" si="8"/>
        <v>6800</v>
      </c>
      <c r="O18" s="175">
        <f t="shared" si="8"/>
        <v>10500</v>
      </c>
      <c r="P18" s="175">
        <f>P6+500</f>
        <v>14500</v>
      </c>
      <c r="Q18" s="171">
        <f t="shared" si="8"/>
        <v>19300</v>
      </c>
      <c r="R18" s="171">
        <f t="shared" si="8"/>
        <v>31100</v>
      </c>
      <c r="S18" s="219">
        <f t="shared" si="8"/>
        <v>40900</v>
      </c>
      <c r="T18" s="220" t="s">
        <v>124</v>
      </c>
    </row>
    <row r="19" spans="2:20" ht="32.25" customHeight="1">
      <c r="B19" s="376" t="s">
        <v>125</v>
      </c>
      <c r="C19" s="377"/>
      <c r="D19" s="377"/>
      <c r="E19" s="378"/>
      <c r="F19" s="221">
        <f>F16*12+F18</f>
        <v>73934.237320574161</v>
      </c>
      <c r="G19" s="222">
        <f t="shared" ref="G19:S19" si="9">G16*12+G18</f>
        <v>84387.754019138752</v>
      </c>
      <c r="H19" s="222">
        <f t="shared" si="9"/>
        <v>97035.786602870823</v>
      </c>
      <c r="I19" s="222">
        <f t="shared" si="9"/>
        <v>116040.12440191387</v>
      </c>
      <c r="J19" s="223">
        <f t="shared" si="9"/>
        <v>136036.01913875598</v>
      </c>
      <c r="K19" s="223">
        <f t="shared" si="9"/>
        <v>178072.88995215311</v>
      </c>
      <c r="L19" s="224">
        <f t="shared" si="9"/>
        <v>238360.57416267943</v>
      </c>
      <c r="M19" s="225">
        <f t="shared" si="9"/>
        <v>97735.786602870823</v>
      </c>
      <c r="N19" s="224">
        <f t="shared" si="9"/>
        <v>116740.12440191387</v>
      </c>
      <c r="O19" s="221">
        <f t="shared" si="9"/>
        <v>185008.13397129186</v>
      </c>
      <c r="P19" s="221">
        <f>P16*12+P18</f>
        <v>258811.38755980862</v>
      </c>
      <c r="Q19" s="222">
        <f t="shared" si="9"/>
        <v>347375.29186602868</v>
      </c>
      <c r="R19" s="222">
        <f t="shared" si="9"/>
        <v>565094.88995215308</v>
      </c>
      <c r="S19" s="226">
        <f t="shared" si="9"/>
        <v>745912.86124401912</v>
      </c>
      <c r="T19" s="211"/>
    </row>
    <row r="20" spans="2:20" ht="24.75" customHeight="1">
      <c r="B20" s="379" t="s">
        <v>126</v>
      </c>
      <c r="C20" s="379"/>
      <c r="D20" s="379"/>
      <c r="E20" s="379"/>
      <c r="F20" s="227">
        <f>F19/$G$23</f>
        <v>3569.9776591296068</v>
      </c>
      <c r="G20" s="227">
        <f t="shared" ref="G20:S20" si="10">G19/$G$23</f>
        <v>4074.7346218801908</v>
      </c>
      <c r="H20" s="227">
        <f t="shared" si="10"/>
        <v>4685.4556544119177</v>
      </c>
      <c r="I20" s="227">
        <f t="shared" si="10"/>
        <v>5603.0963013961309</v>
      </c>
      <c r="J20" s="227">
        <f t="shared" si="10"/>
        <v>6568.615120171703</v>
      </c>
      <c r="K20" s="227">
        <f t="shared" si="10"/>
        <v>8598.4012531218305</v>
      </c>
      <c r="L20" s="227">
        <f t="shared" si="10"/>
        <v>11509.443465122135</v>
      </c>
      <c r="M20" s="227">
        <f t="shared" si="10"/>
        <v>4719.2557509836224</v>
      </c>
      <c r="N20" s="227">
        <f t="shared" si="10"/>
        <v>5636.8963979678347</v>
      </c>
      <c r="O20" s="227">
        <f t="shared" si="10"/>
        <v>8933.2754211150095</v>
      </c>
      <c r="P20" s="227">
        <f>P19/$G$23</f>
        <v>12496.928419111955</v>
      </c>
      <c r="Q20" s="227">
        <f t="shared" si="10"/>
        <v>16773.312016708289</v>
      </c>
      <c r="R20" s="227">
        <f t="shared" si="10"/>
        <v>27286.08836079928</v>
      </c>
      <c r="S20" s="227">
        <f t="shared" si="10"/>
        <v>36017.038205891797</v>
      </c>
      <c r="T20" s="228"/>
    </row>
    <row r="21" spans="2:20" ht="24.75" customHeight="1">
      <c r="B21" s="380" t="s">
        <v>127</v>
      </c>
      <c r="C21" s="380"/>
      <c r="D21" s="380"/>
      <c r="E21" s="380"/>
      <c r="F21" s="229">
        <f>F19/$F$23</f>
        <v>3182.1159802780439</v>
      </c>
      <c r="G21" s="229">
        <f t="shared" ref="G21:S21" si="11">G19/$F$23</f>
        <v>3632.0334169369744</v>
      </c>
      <c r="H21" s="229">
        <f t="shared" si="11"/>
        <v>4176.4024137964479</v>
      </c>
      <c r="I21" s="229">
        <f t="shared" si="11"/>
        <v>4994.3456184138904</v>
      </c>
      <c r="J21" s="229">
        <f t="shared" si="11"/>
        <v>5854.9652513205028</v>
      </c>
      <c r="K21" s="229">
        <f t="shared" si="11"/>
        <v>7664.2244419738536</v>
      </c>
      <c r="L21" s="229">
        <f t="shared" si="11"/>
        <v>10258.995285533863</v>
      </c>
      <c r="M21" s="229">
        <f t="shared" si="11"/>
        <v>4206.5302850901817</v>
      </c>
      <c r="N21" s="229">
        <f t="shared" si="11"/>
        <v>5024.473489707625</v>
      </c>
      <c r="O21" s="229">
        <f t="shared" si="11"/>
        <v>7962.7160694013528</v>
      </c>
      <c r="P21" s="229">
        <f>P19/$F$23</f>
        <v>11139.194533935113</v>
      </c>
      <c r="Q21" s="229">
        <f t="shared" si="11"/>
        <v>14950.968691375625</v>
      </c>
      <c r="R21" s="229">
        <f t="shared" si="11"/>
        <v>24321.580161750218</v>
      </c>
      <c r="S21" s="229">
        <f t="shared" si="11"/>
        <v>32103.952399857928</v>
      </c>
      <c r="T21" s="230"/>
    </row>
    <row r="22" spans="2:20" ht="24.75" customHeight="1"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</row>
    <row r="23" spans="2:20">
      <c r="F23" s="130">
        <v>23.234300000000001</v>
      </c>
      <c r="G23" s="232">
        <v>20.71</v>
      </c>
      <c r="H23" s="233"/>
      <c r="I23" s="233"/>
      <c r="J23" s="234"/>
      <c r="K23" s="234"/>
      <c r="L23" s="234"/>
      <c r="M23" s="234"/>
      <c r="N23" s="234"/>
      <c r="O23" s="234"/>
      <c r="P23" s="234"/>
      <c r="Q23" s="234"/>
      <c r="R23" s="234"/>
      <c r="S23" s="234"/>
    </row>
  </sheetData>
  <mergeCells count="29">
    <mergeCell ref="B19:E19"/>
    <mergeCell ref="B20:E20"/>
    <mergeCell ref="B21:E21"/>
    <mergeCell ref="D13:E13"/>
    <mergeCell ref="D14:E14"/>
    <mergeCell ref="C15:E15"/>
    <mergeCell ref="B16:E16"/>
    <mergeCell ref="B17:E17"/>
    <mergeCell ref="B18:E18"/>
    <mergeCell ref="B6:B15"/>
    <mergeCell ref="C6:C10"/>
    <mergeCell ref="D6:D9"/>
    <mergeCell ref="D10:E10"/>
    <mergeCell ref="C11:E11"/>
    <mergeCell ref="C12:C14"/>
    <mergeCell ref="D12:E12"/>
    <mergeCell ref="B1:T1"/>
    <mergeCell ref="B3:E5"/>
    <mergeCell ref="F3:L3"/>
    <mergeCell ref="M3:N3"/>
    <mergeCell ref="O3:S3"/>
    <mergeCell ref="T3:T5"/>
    <mergeCell ref="F4:F5"/>
    <mergeCell ref="G4:G5"/>
    <mergeCell ref="H4:H5"/>
    <mergeCell ref="I4:I5"/>
    <mergeCell ref="J4:J5"/>
    <mergeCell ref="K4:K5"/>
    <mergeCell ref="L4:L5"/>
  </mergeCells>
  <phoneticPr fontId="7" type="noConversion"/>
  <pageMargins left="0.70866141732283472" right="0.70866141732283472" top="0.74803149606299213" bottom="0.74803149606299213" header="0.31496062992125984" footer="0.31496062992125984"/>
  <pageSetup paperSize="9" scale="5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89361-9D8A-491B-96E3-12274C87B463}">
  <dimension ref="B2:Z12"/>
  <sheetViews>
    <sheetView workbookViewId="0">
      <selection activeCell="N2" sqref="N2:N10"/>
    </sheetView>
  </sheetViews>
  <sheetFormatPr defaultRowHeight="15"/>
  <cols>
    <col min="2" max="2" width="10.7109375" style="401" bestFit="1" customWidth="1"/>
    <col min="3" max="3" width="10.85546875" style="402" bestFit="1" customWidth="1"/>
  </cols>
  <sheetData>
    <row r="2" spans="2:26">
      <c r="B2" s="402" t="s">
        <v>148</v>
      </c>
      <c r="C2" s="402" t="s">
        <v>157</v>
      </c>
      <c r="E2" s="403" t="s">
        <v>168</v>
      </c>
      <c r="F2" t="s">
        <v>167</v>
      </c>
      <c r="G2" s="403" t="s">
        <v>166</v>
      </c>
      <c r="H2" t="str">
        <f>G2&amp;B2&amp;G2&amp;E2&amp;C2&amp;F2</f>
        <v>'2019/01/31' AS "01_MONTH",</v>
      </c>
      <c r="N2" t="str">
        <f>M2&amp;H2&amp;M2&amp;K2&amp;I2&amp;L2</f>
        <v>'2019/01/31' AS "01_MONTH",</v>
      </c>
      <c r="R2" t="s">
        <v>169</v>
      </c>
      <c r="S2" t="s">
        <v>170</v>
      </c>
      <c r="T2" t="s">
        <v>171</v>
      </c>
      <c r="U2" t="s">
        <v>172</v>
      </c>
      <c r="V2" t="s">
        <v>173</v>
      </c>
      <c r="W2" t="s">
        <v>174</v>
      </c>
      <c r="X2" t="s">
        <v>175</v>
      </c>
      <c r="Y2" t="s">
        <v>176</v>
      </c>
      <c r="Z2" t="s">
        <v>177</v>
      </c>
    </row>
    <row r="3" spans="2:26">
      <c r="B3" s="402" t="s">
        <v>149</v>
      </c>
      <c r="C3" s="402" t="s">
        <v>158</v>
      </c>
      <c r="E3" s="403" t="s">
        <v>168</v>
      </c>
      <c r="F3" t="s">
        <v>167</v>
      </c>
      <c r="G3" s="403" t="s">
        <v>166</v>
      </c>
      <c r="H3" t="str">
        <f t="shared" ref="H3:H10" si="0">G3&amp;B3&amp;G3&amp;E3&amp;C3&amp;F3</f>
        <v>'2019/02/28' AS "02_MONTH",</v>
      </c>
      <c r="N3" t="str">
        <f t="shared" ref="N3:N10" si="1">M3&amp;H3&amp;M3&amp;K3&amp;I3&amp;L3</f>
        <v>'2019/02/28' AS "02_MONTH",</v>
      </c>
    </row>
    <row r="4" spans="2:26">
      <c r="B4" s="402" t="s">
        <v>150</v>
      </c>
      <c r="C4" s="402" t="s">
        <v>159</v>
      </c>
      <c r="E4" s="403" t="s">
        <v>168</v>
      </c>
      <c r="F4" t="s">
        <v>167</v>
      </c>
      <c r="G4" s="403" t="s">
        <v>166</v>
      </c>
      <c r="H4" t="str">
        <f t="shared" si="0"/>
        <v>'2019/03/31' AS "03_MONTH",</v>
      </c>
      <c r="N4" t="str">
        <f t="shared" si="1"/>
        <v>'2019/03/31' AS "03_MONTH",</v>
      </c>
    </row>
    <row r="5" spans="2:26">
      <c r="B5" s="402" t="s">
        <v>151</v>
      </c>
      <c r="C5" s="402" t="s">
        <v>160</v>
      </c>
      <c r="E5" s="403" t="s">
        <v>168</v>
      </c>
      <c r="F5" t="s">
        <v>167</v>
      </c>
      <c r="G5" s="403" t="s">
        <v>166</v>
      </c>
      <c r="H5" t="str">
        <f t="shared" si="0"/>
        <v>'2019/04/30' AS "04_MONTH",</v>
      </c>
      <c r="N5" t="str">
        <f t="shared" si="1"/>
        <v>'2019/04/30' AS "04_MONTH",</v>
      </c>
    </row>
    <row r="6" spans="2:26">
      <c r="B6" s="402" t="s">
        <v>152</v>
      </c>
      <c r="C6" s="402" t="s">
        <v>161</v>
      </c>
      <c r="E6" s="403" t="s">
        <v>168</v>
      </c>
      <c r="F6" t="s">
        <v>167</v>
      </c>
      <c r="G6" s="403" t="s">
        <v>166</v>
      </c>
      <c r="H6" t="str">
        <f t="shared" si="0"/>
        <v>'2019/05/31' AS "05_MONTH",</v>
      </c>
      <c r="N6" t="str">
        <f t="shared" si="1"/>
        <v>'2019/05/31' AS "05_MONTH",</v>
      </c>
    </row>
    <row r="7" spans="2:26">
      <c r="B7" s="402" t="s">
        <v>153</v>
      </c>
      <c r="C7" s="402" t="s">
        <v>162</v>
      </c>
      <c r="E7" s="403" t="s">
        <v>168</v>
      </c>
      <c r="F7" t="s">
        <v>167</v>
      </c>
      <c r="G7" s="403" t="s">
        <v>166</v>
      </c>
      <c r="H7" t="str">
        <f t="shared" si="0"/>
        <v>'2019/06/30' AS "06_MONTH",</v>
      </c>
      <c r="N7" t="str">
        <f t="shared" si="1"/>
        <v>'2019/06/30' AS "06_MONTH",</v>
      </c>
    </row>
    <row r="8" spans="2:26">
      <c r="B8" s="402" t="s">
        <v>154</v>
      </c>
      <c r="C8" s="402" t="s">
        <v>163</v>
      </c>
      <c r="E8" s="403" t="s">
        <v>168</v>
      </c>
      <c r="F8" t="s">
        <v>167</v>
      </c>
      <c r="G8" s="403" t="s">
        <v>166</v>
      </c>
      <c r="H8" t="str">
        <f t="shared" si="0"/>
        <v>'2019/07/31' AS "07_MONTH",</v>
      </c>
      <c r="N8" t="str">
        <f t="shared" si="1"/>
        <v>'2019/07/31' AS "07_MONTH",</v>
      </c>
    </row>
    <row r="9" spans="2:26">
      <c r="B9" s="402" t="s">
        <v>155</v>
      </c>
      <c r="C9" s="402" t="s">
        <v>164</v>
      </c>
      <c r="E9" s="403" t="s">
        <v>168</v>
      </c>
      <c r="F9" t="s">
        <v>167</v>
      </c>
      <c r="G9" s="403" t="s">
        <v>166</v>
      </c>
      <c r="H9" t="str">
        <f t="shared" si="0"/>
        <v>'2019/08/31' AS "08_MONTH",</v>
      </c>
      <c r="N9" t="str">
        <f t="shared" si="1"/>
        <v>'2019/08/31' AS "08_MONTH",</v>
      </c>
    </row>
    <row r="10" spans="2:26">
      <c r="B10" s="402" t="s">
        <v>156</v>
      </c>
      <c r="C10" s="402" t="s">
        <v>165</v>
      </c>
      <c r="E10" s="403" t="s">
        <v>168</v>
      </c>
      <c r="F10" t="s">
        <v>167</v>
      </c>
      <c r="G10" s="403" t="s">
        <v>166</v>
      </c>
      <c r="H10" t="str">
        <f t="shared" si="0"/>
        <v>'2019/09/30' AS "09_MONTH",</v>
      </c>
      <c r="N10" t="str">
        <f t="shared" si="1"/>
        <v>'2019/09/30' AS "09_MONTH",</v>
      </c>
    </row>
    <row r="12" spans="2:26">
      <c r="I12" t="str">
        <f>I6&amp;I9&amp;I7&amp;I10</f>
        <v/>
      </c>
      <c r="J12" t="str">
        <f>J6&amp;J9&amp;J7&amp;J10</f>
        <v/>
      </c>
      <c r="K12" t="str">
        <f>K6&amp;K9&amp;K7&amp;K10</f>
        <v/>
      </c>
      <c r="L12" t="str">
        <f>L6&amp;L9&amp;L7&amp;L10</f>
        <v/>
      </c>
      <c r="M12" t="str">
        <f>M6&amp;M9&amp;M7&amp;M10</f>
        <v/>
      </c>
      <c r="N12" t="str">
        <f>N6&amp;N9&amp;N7&amp;N10</f>
        <v>'2019/05/31' AS "05_MONTH",'2019/08/31' AS "08_MONTH",'2019/06/30' AS "06_MONTH",'2019/09/30' AS "09_MONTH",</v>
      </c>
      <c r="O12" t="str">
        <f>O6&amp;O9&amp;O7&amp;O10</f>
        <v/>
      </c>
      <c r="P12" t="str">
        <f>P6&amp;P9&amp;P7&amp;P10</f>
        <v/>
      </c>
    </row>
  </sheetData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Detailed</vt:lpstr>
      <vt:lpstr>임금표(2019)</vt:lpstr>
      <vt:lpstr>임금표(2019_)</vt:lpstr>
      <vt:lpstr>Sheet1</vt:lpstr>
      <vt:lpstr>'임금표(2019)'!Print_Area</vt:lpstr>
      <vt:lpstr>'임금표(2019_)'!Print_Area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Thinkpad</cp:lastModifiedBy>
  <cp:lastPrinted>2017-10-09T09:39:59Z</cp:lastPrinted>
  <dcterms:created xsi:type="dcterms:W3CDTF">2017-02-21T08:41:31Z</dcterms:created>
  <dcterms:modified xsi:type="dcterms:W3CDTF">2019-10-29T11:41:51Z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c8561487-c828-4a67-8b31-a072be999c62</vt:lpwstr>
  </property>
</Properties>
</file>