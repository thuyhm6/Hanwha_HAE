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20" yWindow="-120" windowWidth="29040" windowHeight="15840" tabRatio="495"/>
  </bookViews>
  <sheets>
    <sheet name="Payroll" sheetId="2" r:id="rId1"/>
  </sheets>
  <definedNames>
    <definedName name="__IntlFixup" hidden="1">TRUE</definedName>
    <definedName name="__IntlFixupTable" localSheetId="0" hidden="1">#REF!</definedName>
    <definedName name="_xlnm._FilterDatabase" localSheetId="0" hidden="1">#REF!</definedName>
    <definedName name="_xlnm._FilterDatabase" hidden="1">#REF!</definedName>
    <definedName name="_Key1" localSheetId="0" hidden="1">#REF!</definedName>
    <definedName name="_Key2" localSheetId="0" hidden="1">#REF!</definedName>
    <definedName name="_Order1" hidden="1">255</definedName>
    <definedName name="_Order2" hidden="1">255</definedName>
    <definedName name="_Sort" localSheetId="0" hidden="1">#REF!</definedName>
    <definedName name="Code" localSheetId="0" hidden="1">#REF!</definedName>
    <definedName name="data1" localSheetId="0" hidden="1">#REF!</definedName>
    <definedName name="data2" localSheetId="0" hidden="1">#REF!</definedName>
    <definedName name="data3" localSheetId="0" hidden="1">#REF!</definedName>
    <definedName name="Discount" localSheetId="0" hidden="1">#REF!</definedName>
    <definedName name="display_area_2" localSheetId="0" hidden="1">#REF!</definedName>
    <definedName name="FCode" localSheetId="0" hidden="1">#REF!</definedName>
    <definedName name="HiddenRows" localSheetId="0" hidden="1">#REF!</definedName>
    <definedName name="HTML_CodePage" hidden="1">950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OrderTable" localSheetId="0" hidden="1">#REF!</definedName>
    <definedName name="ProdForm" localSheetId="0" hidden="1">#REF!</definedName>
    <definedName name="Product" localSheetId="0" hidden="1">#REF!</definedName>
    <definedName name="RCArea" localSheetId="0" hidden="1">#REF!</definedName>
    <definedName name="SpecialPrice" localSheetId="0" hidden="1">#REF!</definedName>
    <definedName name="tbl_ProdInfo" localSheetId="0" hidden="1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D39" i="2" l="1"/>
  <c r="CD30" i="2"/>
  <c r="CF30" i="2" l="1"/>
  <c r="CE30" i="2"/>
  <c r="CE39" i="2"/>
  <c r="CF39" i="2"/>
</calcChain>
</file>

<file path=xl/comments1.xml><?xml version="1.0" encoding="utf-8"?>
<comments xmlns="http://schemas.openxmlformats.org/spreadsheetml/2006/main">
  <authors>
    <author>Author</author>
  </authors>
  <commentList>
    <comment ref="BY6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Tăng từ tháng 7/2019:
1,490,000</t>
        </r>
      </text>
    </comment>
    <comment ref="BY7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Đóng BH tất cả các khoản, trừ tiền nhà, tiền ăn, xăng xe</t>
        </r>
      </text>
    </comment>
    <comment ref="BG9" authorId="0" shapeId="0">
      <text>
        <r>
          <rPr>
            <sz val="9"/>
            <color indexed="81"/>
            <rFont val="Tahoma"/>
            <family val="2"/>
          </rPr>
          <t>Ngày nghỉ (Chủ nhật) + 
Làm thêm giờ ban đêm mà không làm thêm vào ban ngày của ngày đó</t>
        </r>
      </text>
    </comment>
    <comment ref="BH9" authorId="0" shapeId="0">
      <text>
        <r>
          <rPr>
            <sz val="9"/>
            <color indexed="81"/>
            <rFont val="Tahoma"/>
            <family val="2"/>
          </rPr>
          <t>Làm thêm ban đêm và có làm thêm giờ vào ban ngày của ngày đó</t>
        </r>
      </text>
    </comment>
    <comment ref="BI9" authorId="0" shapeId="0">
      <text>
        <r>
          <rPr>
            <sz val="9"/>
            <color indexed="81"/>
            <rFont val="Tahoma"/>
            <family val="2"/>
          </rPr>
          <t>Ban đêm của ngày nghỉ hàng tuần</t>
        </r>
      </text>
    </comment>
    <comment ref="BJ9" authorId="0" shapeId="0">
      <text>
        <r>
          <rPr>
            <sz val="9"/>
            <color indexed="81"/>
            <rFont val="Tahoma"/>
            <family val="2"/>
          </rPr>
          <t>Lễ Tết
Ban ngày</t>
        </r>
      </text>
    </comment>
    <comment ref="BK9" authorId="0" shapeId="0">
      <text>
        <r>
          <rPr>
            <sz val="9"/>
            <color indexed="81"/>
            <rFont val="Tahoma"/>
            <family val="2"/>
          </rPr>
          <t xml:space="preserve">Lễ, Tết 
Ban đêm </t>
        </r>
      </text>
    </comment>
    <comment ref="BO9" authorId="0" shapeId="0">
      <text>
        <r>
          <rPr>
            <sz val="9"/>
            <color indexed="81"/>
            <rFont val="Tahoma"/>
            <family val="2"/>
          </rPr>
          <t>Ngày nghỉ (Chủ nhật) + 
Làm thêm giờ ban đêm mà không làm thêm vào ban ngày của ngày đó</t>
        </r>
      </text>
    </comment>
    <comment ref="BP9" authorId="0" shapeId="0">
      <text>
        <r>
          <rPr>
            <sz val="9"/>
            <color indexed="81"/>
            <rFont val="Tahoma"/>
            <family val="2"/>
          </rPr>
          <t>Làm thêm ban đêm và có làm thêm giờ vào ban ngày của ngày đó</t>
        </r>
      </text>
    </comment>
    <comment ref="BQ9" authorId="0" shapeId="0">
      <text>
        <r>
          <rPr>
            <sz val="9"/>
            <color indexed="81"/>
            <rFont val="Tahoma"/>
            <family val="2"/>
          </rPr>
          <t>Ban đêm của ngày nghỉ hàng tuần</t>
        </r>
      </text>
    </comment>
    <comment ref="BR9" authorId="0" shapeId="0">
      <text>
        <r>
          <rPr>
            <sz val="9"/>
            <color indexed="81"/>
            <rFont val="Tahoma"/>
            <family val="2"/>
          </rPr>
          <t>Lễ Tết
Ban ngày</t>
        </r>
      </text>
    </comment>
    <comment ref="BS9" authorId="0" shapeId="0">
      <text>
        <r>
          <rPr>
            <sz val="9"/>
            <color indexed="81"/>
            <rFont val="Tahoma"/>
            <family val="2"/>
          </rPr>
          <t xml:space="preserve">Lễ, Tết 
Ban đêm </t>
        </r>
      </text>
    </comment>
    <comment ref="CK9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Thu nhập chịu thuế không bao gồm tiền ăn trưa và OT</t>
        </r>
      </text>
    </comment>
    <comment ref="DD9" authorId="0" shapeId="0">
      <text>
        <r>
          <rPr>
            <b/>
            <sz val="9"/>
            <color indexed="81"/>
            <rFont val="Tahoma"/>
            <family val="2"/>
          </rPr>
          <t>Làm tròn</t>
        </r>
      </text>
    </comment>
  </commentList>
</comments>
</file>

<file path=xl/sharedStrings.xml><?xml version="1.0" encoding="utf-8"?>
<sst xmlns="http://schemas.openxmlformats.org/spreadsheetml/2006/main" count="1097" uniqueCount="365">
  <si>
    <t>CÔNG TY TNHH HANWHA AERO ENGINES</t>
  </si>
  <si>
    <t xml:space="preserve">Lô CN1-02B-4-8, Khu công nghiệp công nghệ cao I, Khu công nghệ cao Hòa Lạc, xã Hạ Bằng, H. Thạch Thất, Hà Nội
</t>
  </si>
  <si>
    <t>MST: 0107952393</t>
  </si>
  <si>
    <t>STT</t>
  </si>
  <si>
    <t>Mã nhân viên</t>
  </si>
  <si>
    <t>Tên Nhân Viên</t>
  </si>
  <si>
    <t>Vị trí</t>
  </si>
  <si>
    <t>Thưởng chuyên cần</t>
  </si>
  <si>
    <t>Phụ cấp nhà ở</t>
  </si>
  <si>
    <t>Phụ cấp trách nhiệm</t>
  </si>
  <si>
    <t>Phụ cấp bổ sung</t>
  </si>
  <si>
    <t>Tổng phụ cấp</t>
  </si>
  <si>
    <t>Tổng lương + phụ cấp</t>
  </si>
  <si>
    <t>Tổng thu nhập chịu thuế
Total taxable income
(housing allowance included)</t>
  </si>
  <si>
    <t>Ngân hàng</t>
  </si>
  <si>
    <t>No</t>
  </si>
  <si>
    <t>VND</t>
  </si>
  <si>
    <t>Net Salary</t>
  </si>
  <si>
    <t>Outstanding</t>
  </si>
  <si>
    <t>Account number</t>
  </si>
  <si>
    <t>Bank</t>
  </si>
  <si>
    <t>PROBATION</t>
  </si>
  <si>
    <t>TOTAL</t>
  </si>
  <si>
    <t>SUPPORT</t>
  </si>
  <si>
    <t>ENGINEERS</t>
  </si>
  <si>
    <t>MANUFACTURING</t>
  </si>
  <si>
    <t>G. TOTAL</t>
  </si>
  <si>
    <t>&lt;jx:forEach items="${probationPayDetailList}" var="reports" varStatus="i"&gt;</t>
    <phoneticPr fontId="3" type="noConversion"/>
  </si>
  <si>
    <t>&lt;/jx:forEach&gt;</t>
    <phoneticPr fontId="3" type="noConversion"/>
  </si>
  <si>
    <t>&lt;/jx:forEach&gt;</t>
    <phoneticPr fontId="3" type="noConversion"/>
  </si>
  <si>
    <t>${i.index + 1}</t>
    <phoneticPr fontId="3" type="noConversion"/>
  </si>
  <si>
    <t>${i.index + 1}</t>
    <phoneticPr fontId="3" type="noConversion"/>
  </si>
  <si>
    <t>${reports.EMPID}</t>
    <phoneticPr fontId="3" type="noConversion"/>
  </si>
  <si>
    <t>${reports.LOCAL_NAME}</t>
    <phoneticPr fontId="3" type="noConversion"/>
  </si>
  <si>
    <t>${reports.POST_GRADE_NAME}</t>
    <phoneticPr fontId="3" type="noConversion"/>
  </si>
  <si>
    <t>${reports.DATE_STARTED}</t>
    <phoneticPr fontId="3" type="noConversion"/>
  </si>
  <si>
    <t>${reports.NIGHT_SHIFT_PAY_HOURS}</t>
    <phoneticPr fontId="3" type="noConversion"/>
  </si>
  <si>
    <t>${reports.NIGHT_SHIFT_PAY}</t>
    <phoneticPr fontId="3" type="noConversion"/>
  </si>
  <si>
    <t>${reports.INCOME_BEFORE_TAX}</t>
    <phoneticPr fontId="3" type="noConversion"/>
  </si>
  <si>
    <t>${reports.SOCIAL_INS_COMPANY}</t>
    <phoneticPr fontId="3" type="noConversion"/>
  </si>
  <si>
    <t>${reports.SOCIAL_INS_PERSONAL}</t>
    <phoneticPr fontId="3" type="noConversion"/>
  </si>
  <si>
    <t>${reports.MEDICAL_INS_COMPANY}</t>
    <phoneticPr fontId="3" type="noConversion"/>
  </si>
  <si>
    <t>${reports.MEDICAL_INS_PERSONAL}</t>
    <phoneticPr fontId="3" type="noConversion"/>
  </si>
  <si>
    <t>${reports.UNEMPLOYMENT_INS_COMPANY}</t>
    <phoneticPr fontId="3" type="noConversion"/>
  </si>
  <si>
    <t>${reports.UNEMPLOYMENT_INS_PERSONAL}</t>
    <phoneticPr fontId="3" type="noConversion"/>
  </si>
  <si>
    <t>${reports.TRADE_UNION_CORP}</t>
    <phoneticPr fontId="3" type="noConversion"/>
  </si>
  <si>
    <t>${reports.TRADE_UNION}</t>
    <phoneticPr fontId="3" type="noConversion"/>
  </si>
  <si>
    <t>${reports.COMPANY_INS_TOTAL}</t>
    <phoneticPr fontId="3" type="noConversion"/>
  </si>
  <si>
    <t>${reports.PERSONAL_INS_TOTAL}</t>
    <phoneticPr fontId="3" type="noConversion"/>
  </si>
  <si>
    <t>${reports.PERSONAL_TAX}</t>
    <phoneticPr fontId="3" type="noConversion"/>
  </si>
  <si>
    <t>Total Taxable income</t>
    <phoneticPr fontId="3" type="noConversion"/>
  </si>
  <si>
    <t>${reports.P_TAX_DEDUCT_STD}</t>
    <phoneticPr fontId="3" type="noConversion"/>
  </si>
  <si>
    <t>${reports.P_TAX_FAMILY_DEDUCT_COUNT}</t>
    <phoneticPr fontId="3" type="noConversion"/>
  </si>
  <si>
    <t>${reports.TAXABLE_INCOME}</t>
    <phoneticPr fontId="3" type="noConversion"/>
  </si>
  <si>
    <t>${reports.ACCOUNT_NO}</t>
    <phoneticPr fontId="3" type="noConversion"/>
  </si>
  <si>
    <t>${reports.ACCOUNT_TYPE}</t>
    <phoneticPr fontId="3" type="noConversion"/>
  </si>
  <si>
    <t>${reports.TOTAL_TAXABLE_INCOME}</t>
    <phoneticPr fontId="3" type="noConversion"/>
  </si>
  <si>
    <t>&lt;jx:forEach items="${probationPayDetailSum}" var="reports" varStatus="i"&gt;</t>
    <phoneticPr fontId="3" type="noConversion"/>
  </si>
  <si>
    <t>${reports.SOCIAL_INS_BASE}</t>
    <phoneticPr fontId="3" type="noConversion"/>
  </si>
  <si>
    <t>${reports.UNEMPLOYMENT_BASE}</t>
    <phoneticPr fontId="3" type="noConversion"/>
  </si>
  <si>
    <t>&lt;jx:forEach items="${hrPayDetailList}" var="reports" varStatus="i"&gt;</t>
    <phoneticPr fontId="3" type="noConversion"/>
  </si>
  <si>
    <t>&lt;jx:forEach items="${hrPayDetailSum}" var="reports" varStatus="i"&gt;</t>
    <phoneticPr fontId="3" type="noConversion"/>
  </si>
  <si>
    <t>&lt;jx:forEach items="${jsPayDetailList}" var="reports" varStatus="i"&gt;</t>
    <phoneticPr fontId="3" type="noConversion"/>
  </si>
  <si>
    <t>&lt;jx:forEach items="${jsPayDetailSum}" var="reports" varStatus="i"&gt;</t>
    <phoneticPr fontId="3" type="noConversion"/>
  </si>
  <si>
    <t>&lt;jx:forEach items="${zzPayDetailList}" var="reports" varStatus="i"&gt;</t>
    <phoneticPr fontId="3" type="noConversion"/>
  </si>
  <si>
    <t>&lt;jx:forEach items="${zzPayDetailSum}" var="reports" varStatus="i"&gt;</t>
    <phoneticPr fontId="3" type="noConversion"/>
  </si>
  <si>
    <t>&lt;jx:forEach items="${totalPayDetailSum}" var="reports" varStatus="i"&gt;</t>
    <phoneticPr fontId="3" type="noConversion"/>
  </si>
  <si>
    <t>${reports.OT_HOUR_SALARY * 8}</t>
    <phoneticPr fontId="3" type="noConversion"/>
  </si>
  <si>
    <t>${reports.P_TAX_FAMILY_DEDUCT_COUNT * reports.P_TAX_FAMILY_DEDUCT_STD}</t>
    <phoneticPr fontId="3" type="noConversion"/>
  </si>
  <si>
    <t>${reports.P_TAX_DEDUCT_STD + reports.P_TAX_FAMILY_DEDUCT_COUNT * reports.P_TAX_FAMILY_DEDUCT_STD}</t>
    <phoneticPr fontId="3" type="noConversion"/>
  </si>
  <si>
    <t xml:space="preserve">Taxable income subject to PIT/Tổng TNCT trả cho các cá nhân thuộc diện khấu trừ thuế
</t>
    <phoneticPr fontId="3" type="noConversion"/>
  </si>
  <si>
    <t>${reports.TAXABL_INCOME_SUBJECT_TO_PIT}</t>
    <phoneticPr fontId="3" type="noConversion"/>
  </si>
  <si>
    <t>Employee 
code</t>
    <phoneticPr fontId="3" type="noConversion"/>
  </si>
  <si>
    <t>Full Name</t>
    <phoneticPr fontId="3" type="noConversion"/>
  </si>
  <si>
    <t xml:space="preserve">Position </t>
    <phoneticPr fontId="3" type="noConversion"/>
  </si>
  <si>
    <t>Attendance Bonus</t>
    <phoneticPr fontId="3" type="noConversion"/>
  </si>
  <si>
    <t>Housing
allowance</t>
    <phoneticPr fontId="3" type="noConversion"/>
  </si>
  <si>
    <t>Responsibility allowance</t>
    <phoneticPr fontId="3" type="noConversion"/>
  </si>
  <si>
    <t>Additional allowance</t>
    <phoneticPr fontId="3" type="noConversion"/>
  </si>
  <si>
    <t>Total Salary + Allowance</t>
    <phoneticPr fontId="3" type="noConversion"/>
  </si>
  <si>
    <t>OT
chịu thuế</t>
    <phoneticPr fontId="3" type="noConversion"/>
  </si>
  <si>
    <t>Total</t>
    <phoneticPr fontId="3" type="noConversion"/>
  </si>
  <si>
    <t>Thuế TNCN
PIT</t>
    <phoneticPr fontId="3" type="noConversion"/>
  </si>
  <si>
    <t>&lt;jx:if test="${!probationPayDetailList.isEmpty()}"&gt;</t>
    <phoneticPr fontId="3" type="noConversion"/>
  </si>
  <si>
    <t>&lt;/jx:if&gt;</t>
    <phoneticPr fontId="3" type="noConversion"/>
  </si>
  <si>
    <t>&lt;jx:if test="${!hrPayDetailList.isEmpty()}"&gt;</t>
    <phoneticPr fontId="3" type="noConversion"/>
  </si>
  <si>
    <t>&lt;jx:if test="${!jsPayDetailList.isEmpty()}"&gt;</t>
    <phoneticPr fontId="3" type="noConversion"/>
  </si>
  <si>
    <t>&lt;jx:if test="${!zzPayDetailList.isEmpty()}"&gt;</t>
    <phoneticPr fontId="3" type="noConversion"/>
  </si>
  <si>
    <t>${workScheduleDays}</t>
  </si>
  <si>
    <t>Tranportation allowance</t>
  </si>
  <si>
    <t>${reports.PROB_PERSONALLEAVE_DEDUCT + reports.PERSONALLEAVE_DEDUCT + reports.PROB_SICKLEAVE_DEDUCT + reports.SICKLEAVE_DEDUCT + reports.MATERNITYLEAVE_DEDUCT + reports.PROB_ABSENT_DEDUCT + reports.ABSENT_DEDUCT}</t>
  </si>
  <si>
    <t>${(reports.PROB_LATE_ARRIVE_MINUTES + reports.LATE_ARRIVE_MINUTES + reports.PROB_EARLY_LEAVE_MINUTES + reports.EARLY_LEAVE_MINUTES)/60}</t>
  </si>
  <si>
    <t>${reports.PROB_LATEEARLY_DEDUCT + reports.LATEEARLY_DEDUCT}</t>
  </si>
  <si>
    <t>${year} ${month} working days</t>
  </si>
  <si>
    <t>${reports.SATURDAYOT_FEE_TOTAL}</t>
  </si>
  <si>
    <t>Wooribank Exchange rate ${month}/${year}</t>
  </si>
  <si>
    <t>${reports.REAL_WAGES  + reports.P_AFTER_TAX_MINUS - reports.P_AFTER_TAX_PLUS}</t>
  </si>
  <si>
    <t>${reports.REAL_WAGES}</t>
  </si>
  <si>
    <t>Total salary</t>
  </si>
  <si>
    <t>Total allowance</t>
  </si>
  <si>
    <t>${reports.WOMEN_SPECIAL_ALLOWANCE}</t>
  </si>
  <si>
    <t>${reports.BASIC_SALARY_FORCAL}</t>
  </si>
  <si>
    <t>${reports.TRADE_UNION_CORP}</t>
  </si>
  <si>
    <t>${reports.TRADE_UNION}</t>
  </si>
  <si>
    <t>${reports.END_PROBATION_DATE}</t>
  </si>
  <si>
    <t>End Probation  
Date</t>
  </si>
  <si>
    <t>Ngày hết 
thử việc</t>
  </si>
  <si>
    <t>Working hour</t>
  </si>
  <si>
    <t>${(reports.PROBATION_DAYS + reports.REGULAR_DAYS)*8}</t>
  </si>
  <si>
    <t>Unpaid Leave / Nghỉ không hưởng lương</t>
  </si>
  <si>
    <r>
      <t xml:space="preserve">Số ngày làm việc hợp đồng/ </t>
    </r>
    <r>
      <rPr>
        <i/>
        <sz val="9"/>
        <rFont val="Arial"/>
        <family val="2"/>
      </rPr>
      <t>Labor contract working days</t>
    </r>
  </si>
  <si>
    <t>공동의 기본임금</t>
  </si>
  <si>
    <t>Hòa Lạc지역 최저임금 (${year}):</t>
  </si>
  <si>
    <r>
      <t xml:space="preserve">Lương đóng bảo hiểm
</t>
    </r>
    <r>
      <rPr>
        <i/>
        <sz val="9"/>
        <rFont val="Arial"/>
        <family val="2"/>
      </rPr>
      <t>Salary for SHUI contribution</t>
    </r>
  </si>
  <si>
    <r>
      <t xml:space="preserve">Lương đóng bảo hiểm thất nghiệp
</t>
    </r>
    <r>
      <rPr>
        <i/>
        <sz val="9"/>
        <rFont val="Arial"/>
        <family val="2"/>
      </rPr>
      <t>Salary for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Unemployed insurance contribution</t>
    </r>
  </si>
  <si>
    <r>
      <t xml:space="preserve">Taxable income excluded housing allowance
</t>
    </r>
    <r>
      <rPr>
        <i/>
        <sz val="9"/>
        <rFont val="Arial"/>
        <family val="2"/>
      </rPr>
      <t>Thu nhập chịu thuế chưa tính tiền thuê nhà
(Chịu thuế = Tổng TN -các khoản miễn)</t>
    </r>
  </si>
  <si>
    <r>
      <t xml:space="preserve">Thu nhập tính thuế
</t>
    </r>
    <r>
      <rPr>
        <i/>
        <sz val="9"/>
        <rFont val="Arial"/>
        <family val="2"/>
      </rPr>
      <t>Assessable income</t>
    </r>
  </si>
  <si>
    <t>Entry Date　</t>
  </si>
  <si>
    <r>
      <t xml:space="preserve">Công ty
</t>
    </r>
    <r>
      <rPr>
        <i/>
        <sz val="9"/>
        <rFont val="Arial"/>
        <family val="2"/>
      </rPr>
      <t>Company
(21.5%)</t>
    </r>
  </si>
  <si>
    <r>
      <t xml:space="preserve">Nhân viên
</t>
    </r>
    <r>
      <rPr>
        <i/>
        <sz val="9"/>
        <rFont val="Arial"/>
        <family val="2"/>
      </rPr>
      <t>Staff
(10.5%)</t>
    </r>
  </si>
  <si>
    <r>
      <t xml:space="preserve">Bản thân
</t>
    </r>
    <r>
      <rPr>
        <i/>
        <sz val="9"/>
        <rFont val="Arial"/>
        <family val="2"/>
      </rPr>
      <t>Seft-deduction</t>
    </r>
  </si>
  <si>
    <r>
      <t xml:space="preserve">Số người phụ thuộc
</t>
    </r>
    <r>
      <rPr>
        <i/>
        <sz val="9"/>
        <rFont val="Arial"/>
        <family val="2"/>
      </rPr>
      <t>Number of Dependant</t>
    </r>
  </si>
  <si>
    <r>
      <t xml:space="preserve">Giảm trừ người phụ thuộc
</t>
    </r>
    <r>
      <rPr>
        <i/>
        <sz val="9"/>
        <rFont val="Arial"/>
        <family val="2"/>
      </rPr>
      <t>Dependant -deduction</t>
    </r>
  </si>
  <si>
    <r>
      <t xml:space="preserve">Tổng giảm trừ
</t>
    </r>
    <r>
      <rPr>
        <i/>
        <sz val="9"/>
        <rFont val="Arial"/>
        <family val="2"/>
      </rPr>
      <t>Total deductions</t>
    </r>
  </si>
  <si>
    <t>Bộ phận</t>
  </si>
  <si>
    <t>Team</t>
  </si>
  <si>
    <t>Dept</t>
  </si>
  <si>
    <t>Chức vụ</t>
  </si>
  <si>
    <t>Duty</t>
  </si>
  <si>
    <t>${reports.POSITION_NAME}</t>
  </si>
  <si>
    <t>${reports.DEPT_NAME}</t>
  </si>
  <si>
    <t>${reports.TEAM_NAME}</t>
  </si>
  <si>
    <t>Phụ cấp đi lại</t>
  </si>
  <si>
    <t>Phụ cấp điện thoại</t>
  </si>
  <si>
    <t>Mobile phone allowance</t>
  </si>
  <si>
    <t>Lương trung bình 1 ngày/
Daily Salary</t>
  </si>
  <si>
    <r>
      <rPr>
        <sz val="9"/>
        <rFont val="Times New Roman"/>
        <family val="1"/>
      </rPr>
      <t xml:space="preserve">Chính thức/ </t>
    </r>
    <r>
      <rPr>
        <i/>
        <sz val="9"/>
        <rFont val="Times New Roman"/>
        <family val="1"/>
      </rPr>
      <t>Official</t>
    </r>
  </si>
  <si>
    <r>
      <rPr>
        <sz val="9"/>
        <rFont val="Times New Roman"/>
        <family val="1"/>
      </rPr>
      <t>Thử việc</t>
    </r>
    <r>
      <rPr>
        <i/>
        <sz val="9"/>
        <rFont val="Times New Roman"/>
        <family val="1"/>
      </rPr>
      <t>/ Probation</t>
    </r>
  </si>
  <si>
    <t>Tổng số giờ đi làm</t>
  </si>
  <si>
    <r>
      <rPr>
        <sz val="9"/>
        <rFont val="Times New Roman"/>
        <family val="1"/>
      </rPr>
      <t xml:space="preserve">Số giờ/ </t>
    </r>
    <r>
      <rPr>
        <i/>
        <sz val="9"/>
        <rFont val="Times New Roman"/>
        <family val="1"/>
      </rPr>
      <t xml:space="preserve">
Hour</t>
    </r>
  </si>
  <si>
    <r>
      <rPr>
        <b/>
        <sz val="9"/>
        <rFont val="Times New Roman"/>
        <family val="1"/>
      </rPr>
      <t>Số tiền/</t>
    </r>
    <r>
      <rPr>
        <b/>
        <i/>
        <sz val="9"/>
        <rFont val="Times New Roman"/>
        <family val="1"/>
      </rPr>
      <t xml:space="preserve"> Amount</t>
    </r>
  </si>
  <si>
    <t>Đi muộn về sớm/
Late come &amp; Early leave</t>
  </si>
  <si>
    <t>Nghỉ 70% lương/
70% paid leave</t>
  </si>
  <si>
    <t>Trợ cấp phụ nữ/
Woman allowance</t>
  </si>
  <si>
    <r>
      <rPr>
        <b/>
        <sz val="9"/>
        <rFont val="Times New Roman"/>
        <family val="1"/>
      </rPr>
      <t>Số tiền/</t>
    </r>
    <r>
      <rPr>
        <b/>
        <i/>
        <sz val="9"/>
        <rFont val="Times New Roman"/>
        <family val="1"/>
      </rPr>
      <t xml:space="preserve"> 
Amount</t>
    </r>
  </si>
  <si>
    <t xml:space="preserve">Phép năm/ Annua Leave </t>
  </si>
  <si>
    <t>Số tiền/ Amount</t>
  </si>
  <si>
    <t>Ngày vào 
Cty</t>
  </si>
  <si>
    <t>Lương cơ bản</t>
  </si>
  <si>
    <t>Phụ cấp đào tạo</t>
  </si>
  <si>
    <t>Phụ cấp kỹ sư</t>
  </si>
  <si>
    <t>Phụ cấp an toàn vệ sinh viên</t>
  </si>
  <si>
    <r>
      <t xml:space="preserve">Lương trung bình 1 giờ/
</t>
    </r>
    <r>
      <rPr>
        <i/>
        <sz val="9"/>
        <rFont val="Times New Roman"/>
        <family val="1"/>
      </rPr>
      <t>Hourly Salary</t>
    </r>
  </si>
  <si>
    <r>
      <t xml:space="preserve">Số giờ đi làm/
</t>
    </r>
    <r>
      <rPr>
        <i/>
        <sz val="9"/>
        <rFont val="Times New Roman"/>
        <family val="1"/>
      </rPr>
      <t>Working hour</t>
    </r>
  </si>
  <si>
    <r>
      <t xml:space="preserve">Thưởng đặc biệt (Thứ 7)/
</t>
    </r>
    <r>
      <rPr>
        <i/>
        <sz val="9"/>
        <rFont val="Times New Roman"/>
        <family val="1"/>
      </rPr>
      <t>Special Gift (Saturday)</t>
    </r>
  </si>
  <si>
    <r>
      <t>Chính thức</t>
    </r>
    <r>
      <rPr>
        <i/>
        <sz val="9"/>
        <rFont val="Times New Roman"/>
        <family val="1"/>
      </rPr>
      <t>/ Official</t>
    </r>
  </si>
  <si>
    <t>Thử việc/ Probation</t>
  </si>
  <si>
    <r>
      <t xml:space="preserve">Tổng/ </t>
    </r>
    <r>
      <rPr>
        <b/>
        <i/>
        <sz val="9"/>
        <rFont val="Times New Roman"/>
        <family val="1"/>
      </rPr>
      <t>Total</t>
    </r>
  </si>
  <si>
    <r>
      <t xml:space="preserve">Số giờ/ </t>
    </r>
    <r>
      <rPr>
        <i/>
        <sz val="9"/>
        <rFont val="Times New Roman"/>
        <family val="1"/>
      </rPr>
      <t>Hour</t>
    </r>
    <r>
      <rPr>
        <sz val="9"/>
        <rFont val="Times New Roman"/>
        <family val="1"/>
      </rPr>
      <t xml:space="preserve"> 
(200%)</t>
    </r>
  </si>
  <si>
    <r>
      <t>Số giờ/</t>
    </r>
    <r>
      <rPr>
        <i/>
        <sz val="9"/>
        <rFont val="Times New Roman"/>
        <family val="1"/>
      </rPr>
      <t xml:space="preserve"> Hour </t>
    </r>
    <r>
      <rPr>
        <sz val="9"/>
        <rFont val="Times New Roman"/>
        <family val="1"/>
      </rPr>
      <t xml:space="preserve">
(270%)</t>
    </r>
  </si>
  <si>
    <r>
      <t>Số tiền/</t>
    </r>
    <r>
      <rPr>
        <i/>
        <sz val="9"/>
        <rFont val="Times New Roman"/>
        <family val="1"/>
      </rPr>
      <t xml:space="preserve"> Amount</t>
    </r>
  </si>
  <si>
    <r>
      <t>Số giờ/</t>
    </r>
    <r>
      <rPr>
        <b/>
        <i/>
        <sz val="9"/>
        <rFont val="Times New Roman"/>
        <family val="1"/>
      </rPr>
      <t xml:space="preserve"> Hour</t>
    </r>
  </si>
  <si>
    <r>
      <t>Số tiền/</t>
    </r>
    <r>
      <rPr>
        <b/>
        <i/>
        <sz val="9"/>
        <rFont val="Times New Roman"/>
        <family val="1"/>
      </rPr>
      <t xml:space="preserve"> Amount</t>
    </r>
  </si>
  <si>
    <r>
      <t xml:space="preserve">Thưởng đặc biệt/ (Chủ nhật)
</t>
    </r>
    <r>
      <rPr>
        <i/>
        <sz val="9"/>
        <rFont val="Times New Roman"/>
        <family val="1"/>
      </rPr>
      <t>Special Gift (Sunday)</t>
    </r>
  </si>
  <si>
    <r>
      <t xml:space="preserve">Số giờ/ </t>
    </r>
    <r>
      <rPr>
        <i/>
        <sz val="9"/>
        <rFont val="Times New Roman"/>
        <family val="1"/>
      </rPr>
      <t>Hour</t>
    </r>
    <r>
      <rPr>
        <sz val="9"/>
        <rFont val="Times New Roman"/>
        <family val="1"/>
      </rPr>
      <t xml:space="preserve"> 
(100%)</t>
    </r>
  </si>
  <si>
    <r>
      <t>Số giờ/</t>
    </r>
    <r>
      <rPr>
        <i/>
        <sz val="9"/>
        <rFont val="Times New Roman"/>
        <family val="1"/>
      </rPr>
      <t xml:space="preserve"> Hour </t>
    </r>
    <r>
      <rPr>
        <sz val="9"/>
        <rFont val="Times New Roman"/>
        <family val="1"/>
      </rPr>
      <t xml:space="preserve">
(130%)</t>
    </r>
  </si>
  <si>
    <t>Số giờ/ Hour</t>
  </si>
  <si>
    <r>
      <t xml:space="preserve">Số giờ làm thêm giờ
</t>
    </r>
    <r>
      <rPr>
        <i/>
        <sz val="9"/>
        <rFont val="Times New Roman"/>
        <family val="1"/>
      </rPr>
      <t>Overtime working hours</t>
    </r>
  </si>
  <si>
    <r>
      <t>Tổng làm thêm</t>
    </r>
    <r>
      <rPr>
        <b/>
        <i/>
        <sz val="9"/>
        <rFont val="Times New Roman"/>
        <family val="1"/>
      </rPr>
      <t>/ Total OT</t>
    </r>
  </si>
  <si>
    <r>
      <t>Số giờ/</t>
    </r>
    <r>
      <rPr>
        <i/>
        <sz val="9"/>
        <rFont val="Times New Roman"/>
        <family val="1"/>
      </rPr>
      <t xml:space="preserve"> Hour</t>
    </r>
  </si>
  <si>
    <t>Tổng lương tháng</t>
  </si>
  <si>
    <t>Bảo hiểm xã hội</t>
  </si>
  <si>
    <t>Social insurance</t>
  </si>
  <si>
    <t>Bảo hiểm y tế</t>
  </si>
  <si>
    <t>Medical insurance</t>
  </si>
  <si>
    <t>BH thất nghiệp</t>
  </si>
  <si>
    <t>Unemployed insurance</t>
  </si>
  <si>
    <t>Tổng đóng Bảo hiểm</t>
  </si>
  <si>
    <t>Total of Insurance</t>
  </si>
  <si>
    <t>Kinh phí công đoàn</t>
  </si>
  <si>
    <t>Union trade fund</t>
  </si>
  <si>
    <t>Special Gift
chịu thuế</t>
  </si>
  <si>
    <t>Bonus và khoản chịu thuế khác</t>
  </si>
  <si>
    <t>15% x Taxable income</t>
  </si>
  <si>
    <t>Tiền nhà công ty trả thay</t>
  </si>
  <si>
    <t>Housing allowance paid by Company</t>
  </si>
  <si>
    <t>Các khoản giảm trừ</t>
  </si>
  <si>
    <t>Deductions</t>
  </si>
  <si>
    <t>Thưởng năng suất</t>
  </si>
  <si>
    <t>Performance</t>
  </si>
  <si>
    <t>Khấu trừ/ Deduction</t>
  </si>
  <si>
    <t>Truy bù khác, Hiếu hỉ/ Others (Compensation, Condolences, Annual leave)</t>
  </si>
  <si>
    <t>Thực nhận</t>
  </si>
  <si>
    <t>${reports.MOBILE_ALLOWANCE}</t>
  </si>
  <si>
    <t>Training allowance</t>
  </si>
  <si>
    <t>Engineer allowance</t>
  </si>
  <si>
    <t>Safety and hygine allowance</t>
  </si>
  <si>
    <t>${reports.PROB_OT_HOUR_SALARY * 8}</t>
  </si>
  <si>
    <t>${reports.OT_HOUR_SALARY * 8}</t>
  </si>
  <si>
    <t>Số giờ làm ban đêm
Night time</t>
  </si>
  <si>
    <t>${reports.OT_HOUR_SALARY}</t>
  </si>
  <si>
    <t>${reports.PROB_OT_HOUR_SALARY}</t>
  </si>
  <si>
    <t>${reports.REGULAR_DAYS * 8}</t>
  </si>
  <si>
    <t>${reports.PROB_LEAVE70_FEE + reports.LEAVE70_FEE}</t>
  </si>
  <si>
    <t>${reports.WORMEN_HOURS / 60}</t>
  </si>
  <si>
    <t>${reports.ANNUALLEAVE_CLEAR_PAY}</t>
  </si>
  <si>
    <t>${reports.PROB_SATURDAYOT200_HOURS}</t>
  </si>
  <si>
    <t>${reports.SATURDAYOT200_HOURS}</t>
  </si>
  <si>
    <t>${reports.SATURDAYOT270_HOURS}</t>
  </si>
  <si>
    <t>${reports.PROB_SATURDAYOT270_HOURS}</t>
  </si>
  <si>
    <t>${reports.SATURDAYOT200_FEE + reports.SATURDAYOT270_FEE}</t>
  </si>
  <si>
    <t>${reports.PROB_SATURDAYOT200_FEE + reports.PROB_SATURDAYOT270_FEE}</t>
  </si>
  <si>
    <t>${reports.PROB_SATURDAYOT200_HOURS + reports.SATURDAYOT200_HOURS + reports.PROB_SATURDAYOT270_HOURS + reports.SATURDAYOT270_HOURS}</t>
  </si>
  <si>
    <t>${reports.TESHU_OT_HOURS}</t>
  </si>
  <si>
    <t>${reports.PROB_TESHU_OT_HOURS}</t>
  </si>
  <si>
    <t>${reports.TESHU_ZHOUMI_OT}</t>
  </si>
  <si>
    <t>${reports.PROB_TESHU_ZHOUMI_OT}</t>
  </si>
  <si>
    <t>${reports.PROB_TESHU_OT_HOURS + reports.TESHU_OT_HOURS + reports.PROB_TESHU_ZHOUMI_OT + reports.TESHU_ZHOUMI_OT}</t>
  </si>
  <si>
    <t>${reports.SUNDAYOT100_FEE + reports.SUNDAYOT130_FEE}</t>
  </si>
  <si>
    <t>${reports.PROB_SUNDAYOT100_FEE + reports.PROB_SUNDAYOT130_FEE}</t>
  </si>
  <si>
    <t>${reports.SUNDAYOT_FEE_TOTAL}</t>
  </si>
  <si>
    <t xml:space="preserve">${reports.WORKDAYOT150_HOURS} </t>
  </si>
  <si>
    <t xml:space="preserve">${reports.WORKDAYOT200_HOURS + reports.WEEKLYOT200_HOURS} </t>
  </si>
  <si>
    <t xml:space="preserve">${reports.WORKDAYOT210_HOURS} </t>
  </si>
  <si>
    <t xml:space="preserve">${reports.WEEKLYOT270_HOURS} </t>
  </si>
  <si>
    <t xml:space="preserve">${reports.HOLIDAYOT300_HOURS} </t>
  </si>
  <si>
    <t xml:space="preserve">${reports.HOLIDAYOT390_HOURS} </t>
  </si>
  <si>
    <t>${reports.WORKDAYOT150_HOURS + reports.WORKDAYOT200_HOURS + reports.WEEKLYOT200_HOURS + reports.WORKDAYOT210_HOURS + reports.WEEKLYOT270_HOURS + reports.HOLIDAYOT300_HOURS + reports.HOLIDAYOT390_HOURS}</t>
  </si>
  <si>
    <t>${reports.WORKDAYOT150_FEE + reports.WORKDAYOT200_FEE + reports.WEEKLYOT200_FEE + reports.WORKDAYOT210_FEE + reports.WEEKLYOT270_FEE + reports.HOLIDAYOT300_FEE + reports.HOLIDAYOT390_FEE}</t>
  </si>
  <si>
    <t xml:space="preserve">${reports.PROB_WORKDAYOT150_HOURS} </t>
  </si>
  <si>
    <t xml:space="preserve">${reports.PROB_WORKDAYOT200_HOURS + reports.PROB_WEEKLYOT200_HOURS} </t>
  </si>
  <si>
    <t xml:space="preserve">${reports.PROB_WORKDAYOT210_HOURS} </t>
  </si>
  <si>
    <t xml:space="preserve">${reports.PROB_WEEKLYOT270_HOURS} </t>
  </si>
  <si>
    <t xml:space="preserve">${reports.PROB_HOLIDAYOT300_HOURS} </t>
  </si>
  <si>
    <t xml:space="preserve">${reports.PROB_HOLIDAYOT390_HOURS} </t>
  </si>
  <si>
    <t>${reports.PROB_WORKDAYOT150_HOURS + reports.PROB_WORKDAYOT200_HOURS + reports.PROB_WEEKLYOT200_HOURS + reports.PROB_WORKDAYOT210_HOURS + reports.PROB_WEEKLYOT270_HOURS + reports.PROB_HOLIDAYOT300_HOURS + reports.PROB_HOLIDAYOT390_HOURS}</t>
  </si>
  <si>
    <t xml:space="preserve">${reports.PROB_WORKDAYOT150_FEE + reports.PROB_WORKDAYOT200_FEE + reports.PROB_WEEKLYOT200_FEE + reports.PROB_WORKDAYOT210_FEE + reports.PROB_WEEKLYOT270_FEE + reports.PROB_HOLIDAYOT300_FEE + reports.PROB_HOLIDAYOT390_FEE} </t>
  </si>
  <si>
    <t>${reports.WORKDAYOT150_HOURS + reports.WORKDAYOT200_HOURS + reports.WEEKLYOT200_HOURS + reports.WORKDAYOT210_HOURS + reports.WEEKLYOT270_HOURS + reports.HOLIDAYOT300_HOURS + reports.HOLIDAYOT390_HOURS + reports.PROB_WORKDAYOT150_HOURS + reports.PROB_WORKDAYOT200_HOURS + reports.PROB_WEEKLYOT200_HOURS + reports.PROB_WORKDAYOT210_HOURS + reports.PROB_WEEKLYOT270_HOURS + reports.PROB_HOLIDAYOT300_HOURS + reports.PROB_HOLIDAYOT390_HOURS}</t>
  </si>
  <si>
    <t>${reports.WORKDAYOT150_FEE + reports.WORKDAYOT200_FEE + reports.WEEKLYOT200_FEE + reports.WORKDAYOT210_FEE + reports.WEEKLYOT270_FEE + reports.HOLIDAYOT300_FEE + reports.HOLIDAYOT390_FEE + reports.PROB_WORKDAYOT150_FEE + reports.PROB_WORKDAYOT200_FEE + reports.PROB_WEEKLYOT200_FEE + reports.PROB_WORKDAYOT210_FEE + reports.PROB_WEEKLYOT270_FEE + reports.PROB_HOLIDAYOT300_FEE + reports.PROB_HOLIDAYOT390_FEE}</t>
  </si>
  <si>
    <t>${(reports.BASIC_SALARY + reports.FULL_ATTENDANCE_BONUS + reports.HOUSING_ALLOWANCE + reports.POSITION_ALLOWANCE + reports.ADDITIONAL_ALLOWANCE + reports.TRANSPORTATION_ALLOWANCE - reports.PROB_PERSONALLEAVE_DEDUCT - reports.PERSONALLEAVE_DEDUCT - reports.PROB_SICKLEAVE_DEDUCT - reports.SICKLEAVE_DEDUCT - reports.PROB_ABSENT_DEDUCT - reports. ABSENT_DEDUCT - reports. MATERNITYLEAVE_DEDUCT + reports.TAX_LUNCH_ALLOWANCE + reports.OT_FEE_TOTAL - reports.OT_SALARY_NOT_PIT) * 0.15}</t>
  </si>
  <si>
    <t xml:space="preserve">${reports.PERFORMANCE_BONUS} </t>
  </si>
  <si>
    <r>
      <t xml:space="preserve">BẢNG LƯƠNG THÁNG ${month} NĂM ${year}/ </t>
    </r>
    <r>
      <rPr>
        <b/>
        <i/>
        <sz val="12"/>
        <rFont val="Arial"/>
        <family val="2"/>
      </rPr>
      <t>PAYROLL IN ${year}/${month}</t>
    </r>
  </si>
  <si>
    <t>${reports.P_FULL_ATTENDANCE_ALLOW_STD}</t>
  </si>
  <si>
    <t>${reports.P_HOUSE_ALLOWANCE_BASE}</t>
  </si>
  <si>
    <t>${reports.P_TRANSPORTATION_ALLOW_STD}</t>
  </si>
  <si>
    <t>${reports.P_POSITION_ALLOWANCE_STD }</t>
  </si>
  <si>
    <t>${reports.P_APPEND_ALLOWANCE_BASE }</t>
  </si>
  <si>
    <t>${reports.P_TRAINING_ALLOWANCE_STD }</t>
  </si>
  <si>
    <t>${reports.P_ENGINEER_ALLOWANCE }</t>
  </si>
  <si>
    <t>${reports.P_SAFE_ALLOWANCE }</t>
  </si>
  <si>
    <t>${reports.P_FULL_ATTENDANCE_ALLOW_STD + reports.P_HOUSE_ALLOWANCE_BASE + reports.P_TRANSPORTATION_ALLOW_STD + reports.MOBILE_ALLOWANCE + reports.P_POSITION_ALLOWANCE_STD  + reports.P_APPEND_ALLOWANCE_BASE  + reports.P_TRAINING_ALLOWANCE_STD   + reports.P_ENGINEER_ALLOWANCE  + reports.P_SAFE_ALLOWANCE }</t>
  </si>
  <si>
    <t>${reports.BASIC_SALARY_FORCAL + reports.P_FULL_ATTENDANCE_ALLOW_STD + reports.P_HOUSE_ALLOWANCE_BASE + reports.P_TRANSPORTATION_ALLOW_STD + reports.MOBILE_ALLOWANCE + reports.P_POSITION_ALLOWANCE_STD  + reports.P_APPEND_ALLOWANCE_BASE  + reports.P_TRAINING_ALLOWANCE_STD   + reports.P_ENGINEER_ALLOWANCE  + reports.P_SAFE_ALLOWANCE }</t>
  </si>
  <si>
    <t>${reports.PROBATION_DAYS * 8}</t>
  </si>
  <si>
    <t>${reports.PROB_OT_HOUR_SALARY * 26*8}</t>
  </si>
  <si>
    <t>Lương thử việc (Intern: 80%
Fresh: 85%
Exp: 100%)</t>
  </si>
  <si>
    <t>Probation salary (Intern: 80%
Fresh: 85%
Exp: 100%</t>
  </si>
  <si>
    <t>${reports.P_SOCIAL_INS_RTN_P + reports.P_MEDICAL_INS_RTN_P + reports.P_UNEMPLOYMENT_INS_RTN_P + reports.P_PRE_TAX_MINUS + reports.P_AFTER_TAX_MINUS}</t>
  </si>
  <si>
    <t>${reports.P_SOCIAL_INS_SP + reports.P_MEDICAL_INS_SP + reports.P_UNEMPLOYMENT_INS_SP + reports.P_CONDOLENCES + reports.P_PRE_TAX_PLUS + reports.P_AFTER_TAX_PLUS}</t>
  </si>
  <si>
    <t>$[V18 + V27 + V36 + V45]</t>
  </si>
  <si>
    <t>$[U18 + U27 + U36 + U45]</t>
  </si>
  <si>
    <t>$[W18 + W27 + W36 + W45]</t>
  </si>
  <si>
    <t>$[X18 + X27 + X36 + X45]</t>
  </si>
  <si>
    <t>$[Y18 + Y27 + Y36 + Y45]</t>
  </si>
  <si>
    <t>$[Z18 + Z27 + Z36 + Z45]</t>
  </si>
  <si>
    <t>$[AA18 + AA27 + AA36 + AA45]</t>
  </si>
  <si>
    <t>$[AB18 + AB27 + AB36 + AB45]</t>
  </si>
  <si>
    <t>$[AC18 + AC27 + AC36 + AC45]</t>
  </si>
  <si>
    <t>$[AD18 + AD27 + AD36 + AD45]</t>
  </si>
  <si>
    <t>$[AE18 + AE27 + AE36 + AE45]</t>
  </si>
  <si>
    <t>$[AF18 + AF27 + AF36 + AF45]</t>
  </si>
  <si>
    <t>$[AG18 + AG27 + AG36 + AG45]</t>
  </si>
  <si>
    <t>$[AH18 + AH27 + AH36 + AH45]</t>
  </si>
  <si>
    <t>$[AI18 + AI27 + AI36 + AI45]</t>
  </si>
  <si>
    <t>$[AK18 + AK27 + AK36 + AK45]</t>
  </si>
  <si>
    <t>$[AL18 + AL27 + AL36 + AL45]</t>
  </si>
  <si>
    <t>$[AJ18 + AJ27 + AJ36 + AJ45]</t>
  </si>
  <si>
    <t>$[AM18 + AM27 + AM36 + AM45]</t>
  </si>
  <si>
    <t>$[AN18 + AN27 + AN36 + AN45]</t>
  </si>
  <si>
    <t>$[AO18 + AO27 + AO36 + AO45]</t>
  </si>
  <si>
    <t>$[AP18 + AP27 + AP36 + AP45]</t>
  </si>
  <si>
    <t>$[AQ18 + AQ27 + AQ36 + AQ45]</t>
  </si>
  <si>
    <t>$[AR18 + AR27 + AR36 + AR45]</t>
  </si>
  <si>
    <t>$[AS18 + AS27 + AS36 + AS45]</t>
  </si>
  <si>
    <t>$[AT18 + AT27 + AT36 + AT45]</t>
  </si>
  <si>
    <t>$[AU18 + AU27 + AU36 + AU45]</t>
  </si>
  <si>
    <t>$[AV18 + AV27 + AV36 + AV45]</t>
  </si>
  <si>
    <t>$[AW18 + AW27 + AW36 + AW45]</t>
  </si>
  <si>
    <t>$[AX18 + AX27 + AX36 + AX45]</t>
  </si>
  <si>
    <t>$[AY18 + AY27 + AY36 + AY45]</t>
  </si>
  <si>
    <t>$[AZ18 + AZ27 + AZ36 + AZ45]</t>
  </si>
  <si>
    <t>$[BA18 + BA27 + BA36 + BA45]</t>
  </si>
  <si>
    <t>$[BB18 + BB27 + BB36 + BB45]</t>
  </si>
  <si>
    <t>$[BC18 + BC27 + BC36 + BC45]</t>
  </si>
  <si>
    <t>$[BD18 + BD27 + BD36 + BD45]</t>
  </si>
  <si>
    <t>$[BE18 + BE27 + BE36 + BE45]</t>
  </si>
  <si>
    <t>$[BF18 + BF27 + BF36 + BF45]</t>
  </si>
  <si>
    <t>$[BG18 + BG27 + BG36 + BG45]</t>
  </si>
  <si>
    <t>$[BH18 + BH27 + BH36 + BH45]</t>
  </si>
  <si>
    <t>$[BI18 + BI27 + BI36 + BI45]</t>
  </si>
  <si>
    <t>$[BJ18 + BJ27 + BJ36 + BJ45]</t>
  </si>
  <si>
    <t>$[BK18 + BK27 + BK36 + BK45]</t>
  </si>
  <si>
    <t>$[BL18 + BL27 + BL36 + BL45]</t>
  </si>
  <si>
    <t>$[BM18 + BM27 + BM36 + BM45]</t>
  </si>
  <si>
    <t>$[BN18 + BN27 + BN36 + BN45]</t>
  </si>
  <si>
    <t>$[BO18 + BO27 + BO36 + BO45]</t>
  </si>
  <si>
    <t>$[BP18 + BP27 + BP36 + BP45]</t>
  </si>
  <si>
    <t>$[BQ18 + BQ27 + BQ36 + BQ45]</t>
  </si>
  <si>
    <t>$[BR18 + BR27 + BR36 + BR45]</t>
  </si>
  <si>
    <t>$[BS18 + BS27 + BS36 + BS45]</t>
  </si>
  <si>
    <t>$[BT18 + BT27 + BT36 + BT45]</t>
  </si>
  <si>
    <t>$[BU18 + BU27 + BU36 + BU45]</t>
  </si>
  <si>
    <t>$[BV18 + BV27 + BV36 + BV45]</t>
  </si>
  <si>
    <t>$[BW18 + BW27 + BW36 + BW45]</t>
  </si>
  <si>
    <t>$[BX18 + BX27 + BX36 + BX45]</t>
  </si>
  <si>
    <t>$[BY18 + BY27 + BY36 + BY45]</t>
  </si>
  <si>
    <t>$[BZ18 + BZ27 + BZ36 + BZ45]</t>
  </si>
  <si>
    <t>$[CA18 + CA27 + CA36 + CA45]</t>
  </si>
  <si>
    <t>$[CC18 + CC27 + CC36 + CC45]</t>
  </si>
  <si>
    <t>$[CD18 + CD27 + CD36 + CD45]</t>
  </si>
  <si>
    <t>$[CE18 + CE27 + CE36 + CE45]</t>
  </si>
  <si>
    <t>$[CF18 + CF27 + CF36 + CF45]</t>
  </si>
  <si>
    <t>$[CG18 + CG27 + CG36 + CG45]</t>
  </si>
  <si>
    <t>$[CH18 + CH27 + CH36 + CH45]</t>
  </si>
  <si>
    <t>$[CI18 + CI27 + CI36 + CI45]</t>
  </si>
  <si>
    <t>$[CJ18 + CJ27 + CJ36 + CJ45]</t>
  </si>
  <si>
    <t>$[CK18 + CK27 + CK36 + CK45]</t>
  </si>
  <si>
    <t>$[CL18 + CL27 + CL36 + CL45]</t>
  </si>
  <si>
    <t>$[CM18 + CM27 + CM36 + CM45]</t>
  </si>
  <si>
    <t>$[CN18 + CN27 + CN36 + CN45]</t>
  </si>
  <si>
    <t>$[CO18 + CO27 + CO36 + CO45]</t>
  </si>
  <si>
    <t>$[CP18 + CP27 + CP36 + CP45]</t>
  </si>
  <si>
    <t>$[CR18 + CR27 + CR36 + CR45]</t>
  </si>
  <si>
    <t>$[CS18 + CS27 + CS36 + CS45]</t>
  </si>
  <si>
    <t>$[CT18 + CT27 + CT36 + CT45]</t>
  </si>
  <si>
    <t>$[CU18 + CU27 + CU36 + CU45]</t>
  </si>
  <si>
    <t>$[CV18 + CV27 + CV36 + CV45]</t>
  </si>
  <si>
    <t>$[CW18 + CW27 + CW36 + CW45]</t>
  </si>
  <si>
    <t>$[CX18 + CX27 + CX36 + CX45]</t>
  </si>
  <si>
    <t>$[CY18 + CY27 + CY36 + CY45]</t>
  </si>
  <si>
    <t>$[CZ18 + CZ27 + CZ36 + CZ45]</t>
  </si>
  <si>
    <t>$[CB18 + CB27 + CB36 + CB45]</t>
  </si>
  <si>
    <t>$[DA18 + DA27 + DA36 + DA45]</t>
  </si>
  <si>
    <t>$[DB18 + DB27 + DB36 + DB45]</t>
  </si>
  <si>
    <t>$[DD18 + DD27 + DD36 + DD45]</t>
  </si>
  <si>
    <t>$[DC18 + DC27 + DC36 + DC45]</t>
  </si>
  <si>
    <t>${reports.BASIC_SALARY + reports.FULL_ATTENDANCE_BONUS + reports.HOUSING_ALLOWANCE + reports.POSITION_ALLOWANCE + reports.ADDITIONAL_ALLOWANCE  + reports.TRANSPORTATION_ALLOWANCE +  
reports.WOMEN_SPECIAL_ALLOWANCE + reports.ENGINEER_ALLOWANCE + reports.TRAINING_ALLOWANCE + reports.SAFE_ALLOWANCE - reports.PROB_PERSONALLEAVE_DEDUCT - reports.PERSONALLEAVE_DEDUCT - reports.PROB_SICKLEAVE_DEDUCT - reports.SICKLEAVE_DEDUCT - reports.PROB_ABSENT_DEDUCT - reports.ABSENT_DEDUCT - reports.MATERNITYLEAVE_DEDUCT - reports.LEAVE70_FEE - reports.PROB_LEAVE70_FEE - reports.PROB_LATEEARLY_DEDUCT - reports.LATEEARLY_DEDUCT + reports.ANNUALLEAVE_CLEAR_PAY}</t>
  </si>
  <si>
    <t>${reports.SATURDAYOT_FEE_TOTAL + reports.SUNDAYOT_FEE_TOTAL}</t>
  </si>
  <si>
    <t>${reports.WORKDAYOT_FEE_TOTAL + reports.WEEKLYOT_FEE_TOTAL + reports.HOLIDAYOT_FEE_TOTAL  - reports.OT_SALARY_NOT_PIT}</t>
  </si>
  <si>
    <t>${reports.P_BONUS + reports.P_ONLY_FOR_DEDUCT_TAX }</t>
  </si>
  <si>
    <t>${(reports.BASIC_SALARY + reports.FULL_ATTENDANCE_BONUS + reports.HOUSING_ALLOWANCE + reports.POSITION_ALLOWANCE + reports.ADDITIONAL_ALLOWANCE  + reports.TRANSPORTATION_ALLOWANCE +  
reports.WOMEN_SPECIAL_ALLOWANCE + reports.ENGINEER_ALLOWANCE + reports.TRAINING_ALLOWANCE + reports.SAFE_ALLOWANCE - reports.PROB_PERSONALLEAVE_DEDUCT - reports.PERSONALLEAVE_DEDUCT - reports.PROB_SICKLEAVE_DEDUCT - reports.SICKLEAVE_DEDUCT - reports.PROB_ABSENT_DEDUCT - reports.ABSENT_DEDUCT - reports.MATERNITYLEAVE_DEDUCT - reports.LEAVE70_FEE - reports.PROB_LEAVE70_FEE - reports.PROB_LATEEARLY_DEDUCT - reports.LATEEARLY_DEDUCT + reports.ANNUALLEAVE_CLEAR_PAY) + (reports.WORKDAYOT_FEE_TOTAL + reports.WEEKLYOT_FEE_TOTAL + reports.HOLIDAYOT_FEE_TOTAL - reports.OT_SALARY_NOT_PIT) + (reports.SATURDAYOT_FEE_TOTAL + reports.SUNDAYOT_FEE_TOTAL) + (reports.P_BONUS + reports.P_ONLY_FOR_DEDUCT_TAX)}</t>
  </si>
  <si>
    <t>Lương
chịu thuế</t>
  </si>
  <si>
    <t>${reports.JIJIE_XIUJIA_DAYS }</t>
  </si>
  <si>
    <t>${reports.UNPAIDLEAVE_DAYS *8}</t>
  </si>
  <si>
    <t>${reports.PROB_JIJIE_XIUJIA_DAYS}</t>
  </si>
  <si>
    <t>$[T18 + T27 + T36 + T45]</t>
  </si>
  <si>
    <t>$[S18 + S27 + S36 + S45]</t>
  </si>
  <si>
    <t>$[R18 + R27 + R36 + R45]</t>
  </si>
  <si>
    <t>$[Q18 + Q27 + Q36 + Q45]</t>
  </si>
  <si>
    <t>$[P18 + P27 + P36 + P45]</t>
  </si>
  <si>
    <t>$[O18 + O27 + O36 + O45]</t>
  </si>
  <si>
    <t>$[N18 + N27 + N36 + N45]</t>
  </si>
  <si>
    <t>$[M18 + M27 + M36 + M45]</t>
  </si>
  <si>
    <t>$[L18 + L27 + L36 + L45]</t>
  </si>
  <si>
    <t>$[K18 + K27 + K36 + K45]</t>
  </si>
  <si>
    <t>$[J18 + J27 + J36 + J45]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</si>
</sst>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_-"/>
    <numFmt numFmtId="166" formatCode="0.0%"/>
    <numFmt numFmtId="167" formatCode="_(* #,##0.0_);_(* \(#,##0.0\);_(* &quot;-&quot;??_);_(@_)"/>
    <numFmt numFmtId="168" formatCode="_-* #,##0.00\ _₫_-;\-* #,##0.00\ _₫_-;_-* &quot;-&quot;??\ _₫_-;_-@_-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3"/>
      <charset val="134"/>
      <scheme val="minor"/>
    </font>
    <font>
      <sz val="10"/>
      <name val="VNI-Times"/>
    </font>
    <font>
      <sz val="12"/>
      <name val="VNI-Times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sz val="9"/>
      <color rgb="FFFF0000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sz val="9"/>
      <color theme="1"/>
      <name val="Arial"/>
      <family val="2"/>
    </font>
    <font>
      <b/>
      <i/>
      <sz val="9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b/>
      <sz val="10"/>
      <color theme="0"/>
      <name val="Arial"/>
      <family val="2"/>
    </font>
    <font>
      <b/>
      <sz val="9"/>
      <color rgb="FFFF0000"/>
      <name val="Arial"/>
      <family val="2"/>
    </font>
    <font>
      <i/>
      <sz val="9"/>
      <color rgb="FFFF0000"/>
      <name val="Arial"/>
      <family val="2"/>
    </font>
    <font>
      <b/>
      <i/>
      <sz val="9"/>
      <color rgb="FFFF0000"/>
      <name val="Arial"/>
      <family val="2"/>
    </font>
    <font>
      <b/>
      <i/>
      <sz val="10"/>
      <name val="Arial"/>
      <family val="2"/>
    </font>
    <font>
      <i/>
      <sz val="9"/>
      <name val="Times New Roman"/>
      <family val="1"/>
    </font>
    <font>
      <sz val="9"/>
      <name val="Times New Roman"/>
      <family val="1"/>
    </font>
    <font>
      <b/>
      <i/>
      <sz val="9"/>
      <name val="Times New Roman"/>
      <family val="1"/>
    </font>
    <font>
      <b/>
      <sz val="9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8" tint="-0.499984740745262"/>
        <bgColor indexed="64"/>
      </patternFill>
    </fill>
  </fills>
  <borders count="43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" fillId="0" borderId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9">
    <xf numFmtId="0" fontId="0" fillId="0" borderId="0" xfId="0"/>
    <xf numFmtId="0" fontId="8" fillId="0" borderId="0" xfId="1" applyFont="1" applyFill="1"/>
    <xf numFmtId="0" fontId="9" fillId="0" borderId="0" xfId="1" applyFont="1" applyAlignment="1"/>
    <xf numFmtId="0" fontId="9" fillId="0" borderId="0" xfId="1" applyFont="1" applyAlignment="1">
      <alignment horizontal="center" vertical="center"/>
    </xf>
    <xf numFmtId="0" fontId="9" fillId="0" borderId="0" xfId="1" applyFont="1" applyAlignment="1">
      <alignment horizontal="center"/>
    </xf>
    <xf numFmtId="0" fontId="9" fillId="0" borderId="0" xfId="1" applyFont="1"/>
    <xf numFmtId="164" fontId="9" fillId="0" borderId="0" xfId="2" applyNumberFormat="1" applyFont="1"/>
    <xf numFmtId="164" fontId="8" fillId="0" borderId="0" xfId="2" applyNumberFormat="1" applyFont="1"/>
    <xf numFmtId="0" fontId="8" fillId="0" borderId="0" xfId="1" applyFont="1"/>
    <xf numFmtId="0" fontId="9" fillId="0" borderId="0" xfId="1" applyFont="1" applyFill="1"/>
    <xf numFmtId="164" fontId="10" fillId="0" borderId="0" xfId="2" applyNumberFormat="1" applyFont="1"/>
    <xf numFmtId="0" fontId="10" fillId="0" borderId="0" xfId="1" applyFont="1" applyFill="1"/>
    <xf numFmtId="164" fontId="8" fillId="0" borderId="0" xfId="2" applyNumberFormat="1" applyFont="1" applyFill="1"/>
    <xf numFmtId="0" fontId="11" fillId="0" borderId="0" xfId="1" applyFont="1"/>
    <xf numFmtId="1" fontId="11" fillId="0" borderId="0" xfId="1" applyNumberFormat="1" applyFont="1" applyAlignment="1">
      <alignment horizontal="center"/>
    </xf>
    <xf numFmtId="0" fontId="8" fillId="0" borderId="0" xfId="1" applyFont="1" applyFill="1" applyAlignment="1"/>
    <xf numFmtId="165" fontId="9" fillId="0" borderId="0" xfId="1" applyNumberFormat="1" applyFont="1"/>
    <xf numFmtId="0" fontId="9" fillId="0" borderId="0" xfId="1" applyFont="1" applyFill="1" applyAlignment="1"/>
    <xf numFmtId="0" fontId="8" fillId="0" borderId="0" xfId="1" applyFont="1" applyFill="1" applyAlignment="1">
      <alignment horizontal="center" vertical="center"/>
    </xf>
    <xf numFmtId="0" fontId="10" fillId="0" borderId="0" xfId="1" applyFont="1" applyFill="1" applyAlignment="1">
      <alignment horizontal="left" vertical="center"/>
    </xf>
    <xf numFmtId="164" fontId="9" fillId="0" borderId="0" xfId="2" applyNumberFormat="1" applyFont="1" applyFill="1" applyAlignment="1">
      <alignment horizontal="right"/>
    </xf>
    <xf numFmtId="164" fontId="8" fillId="0" borderId="0" xfId="2" applyNumberFormat="1" applyFont="1" applyFill="1" applyAlignment="1">
      <alignment horizontal="right"/>
    </xf>
    <xf numFmtId="164" fontId="9" fillId="0" borderId="0" xfId="1" applyNumberFormat="1" applyFont="1" applyFill="1" applyAlignment="1">
      <alignment horizontal="right"/>
    </xf>
    <xf numFmtId="0" fontId="9" fillId="0" borderId="0" xfId="1" applyFont="1" applyFill="1" applyAlignment="1">
      <alignment horizontal="center"/>
    </xf>
    <xf numFmtId="164" fontId="8" fillId="0" borderId="0" xfId="1" applyNumberFormat="1" applyFont="1" applyFill="1" applyAlignment="1">
      <alignment horizontal="right"/>
    </xf>
    <xf numFmtId="164" fontId="10" fillId="0" borderId="0" xfId="2" applyNumberFormat="1" applyFont="1" applyFill="1"/>
    <xf numFmtId="43" fontId="10" fillId="0" borderId="0" xfId="2" applyFont="1" applyFill="1"/>
    <xf numFmtId="164" fontId="10" fillId="0" borderId="0" xfId="3" applyNumberFormat="1" applyFont="1" applyFill="1" applyAlignment="1">
      <alignment horizontal="left"/>
    </xf>
    <xf numFmtId="164" fontId="10" fillId="0" borderId="0" xfId="3" applyNumberFormat="1" applyFont="1" applyFill="1"/>
    <xf numFmtId="164" fontId="9" fillId="0" borderId="0" xfId="1" applyNumberFormat="1" applyFont="1" applyFill="1"/>
    <xf numFmtId="164" fontId="10" fillId="0" borderId="0" xfId="1" applyNumberFormat="1" applyFont="1" applyFill="1"/>
    <xf numFmtId="164" fontId="9" fillId="0" borderId="0" xfId="2" applyNumberFormat="1" applyFont="1" applyFill="1" applyAlignment="1"/>
    <xf numFmtId="0" fontId="10" fillId="2" borderId="9" xfId="1" applyFont="1" applyFill="1" applyBorder="1" applyAlignment="1">
      <alignment horizontal="center" vertical="center"/>
    </xf>
    <xf numFmtId="0" fontId="10" fillId="2" borderId="10" xfId="1" applyFont="1" applyFill="1" applyBorder="1" applyAlignment="1">
      <alignment horizontal="center" vertical="center" wrapText="1"/>
    </xf>
    <xf numFmtId="0" fontId="10" fillId="2" borderId="8" xfId="1" applyFont="1" applyFill="1" applyBorder="1" applyAlignment="1">
      <alignment horizontal="center" vertical="center" wrapText="1"/>
    </xf>
    <xf numFmtId="0" fontId="10" fillId="3" borderId="8" xfId="1" applyFont="1" applyFill="1" applyBorder="1" applyAlignment="1">
      <alignment horizontal="center" vertical="center" wrapText="1"/>
    </xf>
    <xf numFmtId="0" fontId="15" fillId="3" borderId="8" xfId="1" applyFont="1" applyFill="1" applyBorder="1" applyAlignment="1">
      <alignment horizontal="center" vertical="center" wrapText="1"/>
    </xf>
    <xf numFmtId="9" fontId="9" fillId="4" borderId="8" xfId="8" applyFont="1" applyFill="1" applyBorder="1" applyAlignment="1">
      <alignment horizontal="center" vertical="center" wrapText="1"/>
    </xf>
    <xf numFmtId="9" fontId="9" fillId="2" borderId="8" xfId="5" applyFont="1" applyFill="1" applyBorder="1" applyAlignment="1">
      <alignment horizontal="center" vertical="center" wrapText="1"/>
    </xf>
    <xf numFmtId="9" fontId="9" fillId="2" borderId="8" xfId="1" applyNumberFormat="1" applyFont="1" applyFill="1" applyBorder="1" applyAlignment="1">
      <alignment horizontal="center" vertical="center" wrapText="1"/>
    </xf>
    <xf numFmtId="166" fontId="9" fillId="2" borderId="8" xfId="1" applyNumberFormat="1" applyFont="1" applyFill="1" applyBorder="1" applyAlignment="1">
      <alignment horizontal="center" vertical="center"/>
    </xf>
    <xf numFmtId="9" fontId="9" fillId="2" borderId="8" xfId="1" applyNumberFormat="1" applyFont="1" applyFill="1" applyBorder="1" applyAlignment="1">
      <alignment horizontal="center" vertical="center"/>
    </xf>
    <xf numFmtId="9" fontId="8" fillId="4" borderId="8" xfId="5" applyFont="1" applyFill="1" applyBorder="1" applyAlignment="1">
      <alignment horizontal="center" vertical="center" wrapText="1"/>
    </xf>
    <xf numFmtId="9" fontId="9" fillId="4" borderId="8" xfId="1" applyNumberFormat="1" applyFont="1" applyFill="1" applyBorder="1" applyAlignment="1">
      <alignment horizontal="center" vertical="center" wrapText="1"/>
    </xf>
    <xf numFmtId="0" fontId="9" fillId="2" borderId="8" xfId="1" applyFont="1" applyFill="1" applyBorder="1" applyAlignment="1">
      <alignment horizontal="center" vertical="center" wrapText="1"/>
    </xf>
    <xf numFmtId="1" fontId="10" fillId="2" borderId="8" xfId="1" applyNumberFormat="1" applyFont="1" applyFill="1" applyBorder="1" applyAlignment="1">
      <alignment horizontal="center" vertical="center" wrapText="1"/>
    </xf>
    <xf numFmtId="0" fontId="10" fillId="0" borderId="9" xfId="1" quotePrefix="1" applyFont="1" applyFill="1" applyBorder="1" applyAlignment="1">
      <alignment horizontal="center"/>
    </xf>
    <xf numFmtId="0" fontId="10" fillId="0" borderId="10" xfId="1" quotePrefix="1" applyFont="1" applyFill="1" applyBorder="1" applyAlignment="1">
      <alignment horizontal="center"/>
    </xf>
    <xf numFmtId="0" fontId="16" fillId="0" borderId="28" xfId="1" applyFont="1" applyFill="1" applyBorder="1" applyAlignment="1">
      <alignment horizontal="left" vertical="center"/>
    </xf>
    <xf numFmtId="0" fontId="10" fillId="0" borderId="34" xfId="1" quotePrefix="1" applyFont="1" applyFill="1" applyBorder="1" applyAlignment="1">
      <alignment horizontal="center"/>
    </xf>
    <xf numFmtId="0" fontId="10" fillId="0" borderId="35" xfId="1" quotePrefix="1" applyFont="1" applyFill="1" applyBorder="1" applyAlignment="1">
      <alignment horizontal="center" vertical="center"/>
    </xf>
    <xf numFmtId="0" fontId="10" fillId="0" borderId="36" xfId="1" quotePrefix="1" applyFont="1" applyFill="1" applyBorder="1" applyAlignment="1">
      <alignment horizontal="center" vertical="center"/>
    </xf>
    <xf numFmtId="0" fontId="10" fillId="3" borderId="36" xfId="1" quotePrefix="1" applyFont="1" applyFill="1" applyBorder="1" applyAlignment="1">
      <alignment horizontal="center" vertical="center"/>
    </xf>
    <xf numFmtId="0" fontId="15" fillId="3" borderId="36" xfId="1" quotePrefix="1" applyFont="1" applyFill="1" applyBorder="1" applyAlignment="1">
      <alignment horizontal="center" vertical="center"/>
    </xf>
    <xf numFmtId="164" fontId="9" fillId="0" borderId="15" xfId="3" quotePrefix="1" applyNumberFormat="1" applyFont="1" applyFill="1" applyBorder="1" applyAlignment="1">
      <alignment horizontal="right" vertical="center" wrapText="1"/>
    </xf>
    <xf numFmtId="0" fontId="10" fillId="0" borderId="37" xfId="1" quotePrefix="1" applyFont="1" applyFill="1" applyBorder="1" applyAlignment="1">
      <alignment horizontal="center" vertical="center"/>
    </xf>
    <xf numFmtId="0" fontId="10" fillId="0" borderId="34" xfId="1" quotePrefix="1" applyFont="1" applyFill="1" applyBorder="1" applyAlignment="1">
      <alignment horizontal="center" vertical="center"/>
    </xf>
    <xf numFmtId="164" fontId="9" fillId="0" borderId="15" xfId="3" applyNumberFormat="1" applyFont="1" applyFill="1" applyBorder="1" applyAlignment="1">
      <alignment horizontal="right" vertical="center" wrapText="1"/>
    </xf>
    <xf numFmtId="0" fontId="15" fillId="0" borderId="35" xfId="1" quotePrefix="1" applyFont="1" applyFill="1" applyBorder="1" applyAlignment="1">
      <alignment horizontal="center" vertical="center"/>
    </xf>
    <xf numFmtId="0" fontId="10" fillId="0" borderId="36" xfId="1" applyFont="1" applyFill="1" applyBorder="1" applyAlignment="1">
      <alignment horizontal="center" vertical="center"/>
    </xf>
    <xf numFmtId="0" fontId="10" fillId="0" borderId="0" xfId="1" quotePrefix="1" applyFont="1" applyFill="1" applyBorder="1" applyAlignment="1">
      <alignment horizontal="center" vertical="center"/>
    </xf>
    <xf numFmtId="164" fontId="15" fillId="0" borderId="36" xfId="2" quotePrefix="1" applyNumberFormat="1" applyFont="1" applyFill="1" applyBorder="1" applyAlignment="1">
      <alignment horizontal="center" vertical="center"/>
    </xf>
    <xf numFmtId="164" fontId="15" fillId="0" borderId="31" xfId="2" quotePrefix="1" applyNumberFormat="1" applyFont="1" applyFill="1" applyBorder="1" applyAlignment="1">
      <alignment horizontal="center" vertical="center"/>
    </xf>
    <xf numFmtId="0" fontId="10" fillId="0" borderId="31" xfId="1" quotePrefix="1" applyFont="1" applyFill="1" applyBorder="1" applyAlignment="1">
      <alignment horizontal="center" vertical="center"/>
    </xf>
    <xf numFmtId="1" fontId="10" fillId="0" borderId="31" xfId="1" quotePrefix="1" applyNumberFormat="1" applyFont="1" applyFill="1" applyBorder="1" applyAlignment="1">
      <alignment horizontal="center" vertical="center"/>
    </xf>
    <xf numFmtId="0" fontId="17" fillId="0" borderId="12" xfId="1" applyFont="1" applyFill="1" applyBorder="1" applyAlignment="1">
      <alignment horizontal="left" vertical="center"/>
    </xf>
    <xf numFmtId="0" fontId="17" fillId="0" borderId="13" xfId="1" applyFont="1" applyFill="1" applyBorder="1" applyAlignment="1">
      <alignment horizontal="left" vertical="center"/>
    </xf>
    <xf numFmtId="0" fontId="18" fillId="0" borderId="14" xfId="0" applyFont="1" applyBorder="1"/>
    <xf numFmtId="0" fontId="9" fillId="0" borderId="15" xfId="1" applyFont="1" applyFill="1" applyBorder="1" applyAlignment="1">
      <alignment vertical="center" wrapText="1"/>
    </xf>
    <xf numFmtId="0" fontId="9" fillId="0" borderId="15" xfId="1" applyFont="1" applyFill="1" applyBorder="1" applyAlignment="1">
      <alignment horizontal="center" vertical="center" wrapText="1"/>
    </xf>
    <xf numFmtId="164" fontId="9" fillId="3" borderId="15" xfId="3" quotePrefix="1" applyNumberFormat="1" applyFont="1" applyFill="1" applyBorder="1" applyAlignment="1">
      <alignment horizontal="right" vertical="center" wrapText="1"/>
    </xf>
    <xf numFmtId="164" fontId="8" fillId="3" borderId="15" xfId="3" quotePrefix="1" applyNumberFormat="1" applyFont="1" applyFill="1" applyBorder="1" applyAlignment="1">
      <alignment horizontal="right" vertical="center" wrapText="1"/>
    </xf>
    <xf numFmtId="164" fontId="9" fillId="0" borderId="16" xfId="3" quotePrefix="1" applyNumberFormat="1" applyFont="1" applyFill="1" applyBorder="1" applyAlignment="1">
      <alignment horizontal="right" vertical="center" wrapText="1"/>
    </xf>
    <xf numFmtId="164" fontId="9" fillId="0" borderId="16" xfId="3" applyNumberFormat="1" applyFont="1" applyFill="1" applyBorder="1" applyAlignment="1">
      <alignment horizontal="right" vertical="center" wrapText="1"/>
    </xf>
    <xf numFmtId="164" fontId="9" fillId="0" borderId="18" xfId="7" applyNumberFormat="1" applyFont="1" applyFill="1" applyBorder="1" applyAlignment="1">
      <alignment horizontal="right" vertical="center" wrapText="1"/>
    </xf>
    <xf numFmtId="164" fontId="8" fillId="0" borderId="15" xfId="3" applyNumberFormat="1" applyFont="1" applyFill="1" applyBorder="1" applyAlignment="1">
      <alignment horizontal="right" vertical="center" wrapText="1"/>
    </xf>
    <xf numFmtId="164" fontId="9" fillId="0" borderId="17" xfId="3" applyNumberFormat="1" applyFont="1" applyFill="1" applyBorder="1" applyAlignment="1">
      <alignment horizontal="right" vertical="center" wrapText="1"/>
    </xf>
    <xf numFmtId="164" fontId="9" fillId="0" borderId="15" xfId="2" applyNumberFormat="1" applyFont="1" applyFill="1" applyBorder="1" applyAlignment="1">
      <alignment horizontal="right" vertical="center" wrapText="1"/>
    </xf>
    <xf numFmtId="164" fontId="8" fillId="0" borderId="15" xfId="2" applyNumberFormat="1" applyFont="1" applyFill="1" applyBorder="1" applyAlignment="1">
      <alignment horizontal="right" vertical="center" wrapText="1"/>
    </xf>
    <xf numFmtId="164" fontId="8" fillId="0" borderId="18" xfId="2" applyNumberFormat="1" applyFont="1" applyFill="1" applyBorder="1" applyAlignment="1">
      <alignment horizontal="right" vertical="center" wrapText="1"/>
    </xf>
    <xf numFmtId="164" fontId="8" fillId="0" borderId="18" xfId="3" applyNumberFormat="1" applyFont="1" applyFill="1" applyBorder="1" applyAlignment="1">
      <alignment horizontal="right" vertical="center" wrapText="1"/>
    </xf>
    <xf numFmtId="1" fontId="8" fillId="0" borderId="18" xfId="3" applyNumberFormat="1" applyFont="1" applyFill="1" applyBorder="1" applyAlignment="1">
      <alignment horizontal="center" vertical="center" wrapText="1"/>
    </xf>
    <xf numFmtId="164" fontId="9" fillId="0" borderId="18" xfId="3" applyNumberFormat="1" applyFont="1" applyFill="1" applyBorder="1" applyAlignment="1">
      <alignment horizontal="center" vertical="center" wrapText="1"/>
    </xf>
    <xf numFmtId="0" fontId="9" fillId="0" borderId="0" xfId="1" applyFont="1" applyAlignment="1">
      <alignment vertical="center" wrapText="1"/>
    </xf>
    <xf numFmtId="0" fontId="17" fillId="0" borderId="23" xfId="1" applyFont="1" applyFill="1" applyBorder="1" applyAlignment="1">
      <alignment horizontal="left" vertical="center"/>
    </xf>
    <xf numFmtId="0" fontId="18" fillId="0" borderId="20" xfId="0" applyFont="1" applyBorder="1"/>
    <xf numFmtId="0" fontId="9" fillId="0" borderId="18" xfId="1" applyFont="1" applyFill="1" applyBorder="1" applyAlignment="1">
      <alignment vertical="center" wrapText="1"/>
    </xf>
    <xf numFmtId="0" fontId="9" fillId="0" borderId="18" xfId="1" applyFont="1" applyFill="1" applyBorder="1" applyAlignment="1">
      <alignment horizontal="center" vertical="center" wrapText="1"/>
    </xf>
    <xf numFmtId="164" fontId="9" fillId="0" borderId="18" xfId="2" applyNumberFormat="1" applyFont="1" applyFill="1" applyBorder="1" applyAlignment="1">
      <alignment vertical="center" wrapText="1"/>
    </xf>
    <xf numFmtId="164" fontId="9" fillId="0" borderId="18" xfId="3" applyNumberFormat="1" applyFont="1" applyFill="1" applyBorder="1" applyAlignment="1">
      <alignment horizontal="right" vertical="center" wrapText="1"/>
    </xf>
    <xf numFmtId="164" fontId="9" fillId="3" borderId="18" xfId="3" quotePrefix="1" applyNumberFormat="1" applyFont="1" applyFill="1" applyBorder="1" applyAlignment="1">
      <alignment horizontal="right" vertical="center" wrapText="1"/>
    </xf>
    <xf numFmtId="164" fontId="8" fillId="3" borderId="18" xfId="3" quotePrefix="1" applyNumberFormat="1" applyFont="1" applyFill="1" applyBorder="1" applyAlignment="1">
      <alignment horizontal="right" vertical="center" wrapText="1"/>
    </xf>
    <xf numFmtId="167" fontId="11" fillId="0" borderId="18" xfId="7" quotePrefix="1" applyNumberFormat="1" applyFont="1" applyFill="1" applyBorder="1" applyAlignment="1">
      <alignment horizontal="right" vertical="center" wrapText="1"/>
    </xf>
    <xf numFmtId="164" fontId="11" fillId="0" borderId="18" xfId="3" quotePrefix="1" applyNumberFormat="1" applyFont="1" applyFill="1" applyBorder="1" applyAlignment="1">
      <alignment horizontal="right" vertical="center" wrapText="1"/>
    </xf>
    <xf numFmtId="164" fontId="9" fillId="0" borderId="17" xfId="3" quotePrefix="1" applyNumberFormat="1" applyFont="1" applyFill="1" applyBorder="1" applyAlignment="1">
      <alignment horizontal="right" vertical="center" wrapText="1"/>
    </xf>
    <xf numFmtId="164" fontId="11" fillId="0" borderId="18" xfId="7" applyNumberFormat="1" applyFont="1" applyFill="1" applyBorder="1" applyAlignment="1">
      <alignment horizontal="right" vertical="center" wrapText="1"/>
    </xf>
    <xf numFmtId="164" fontId="9" fillId="0" borderId="18" xfId="2" applyNumberFormat="1" applyFont="1" applyFill="1" applyBorder="1" applyAlignment="1">
      <alignment horizontal="right" vertical="center" wrapText="1"/>
    </xf>
    <xf numFmtId="167" fontId="9" fillId="0" borderId="18" xfId="7" quotePrefix="1" applyNumberFormat="1" applyFont="1" applyFill="1" applyBorder="1" applyAlignment="1">
      <alignment horizontal="right" vertical="center" wrapText="1"/>
    </xf>
    <xf numFmtId="164" fontId="9" fillId="0" borderId="18" xfId="3" quotePrefix="1" applyNumberFormat="1" applyFont="1" applyFill="1" applyBorder="1" applyAlignment="1">
      <alignment horizontal="right" vertical="center" wrapText="1"/>
    </xf>
    <xf numFmtId="0" fontId="9" fillId="0" borderId="29" xfId="1" applyFont="1" applyFill="1" applyBorder="1" applyAlignment="1">
      <alignment horizontal="center" vertical="center" wrapText="1"/>
    </xf>
    <xf numFmtId="0" fontId="9" fillId="0" borderId="20" xfId="1" applyFont="1" applyFill="1" applyBorder="1" applyAlignment="1">
      <alignment horizontal="center" vertical="center" wrapText="1"/>
    </xf>
    <xf numFmtId="14" fontId="9" fillId="0" borderId="18" xfId="1" quotePrefix="1" applyNumberFormat="1" applyFont="1" applyFill="1" applyBorder="1" applyAlignment="1">
      <alignment horizontal="center" vertical="center" wrapText="1"/>
    </xf>
    <xf numFmtId="49" fontId="9" fillId="0" borderId="18" xfId="1" applyNumberFormat="1" applyFont="1" applyFill="1" applyBorder="1" applyAlignment="1">
      <alignment horizontal="center" vertical="center" wrapText="1"/>
    </xf>
    <xf numFmtId="167" fontId="9" fillId="0" borderId="18" xfId="2" quotePrefix="1" applyNumberFormat="1" applyFont="1" applyFill="1" applyBorder="1" applyAlignment="1">
      <alignment horizontal="right" vertical="center" wrapText="1"/>
    </xf>
    <xf numFmtId="167" fontId="9" fillId="0" borderId="21" xfId="3" applyNumberFormat="1" applyFont="1" applyFill="1" applyBorder="1" applyAlignment="1">
      <alignment horizontal="right" vertical="center" wrapText="1"/>
    </xf>
    <xf numFmtId="164" fontId="9" fillId="0" borderId="22" xfId="3" applyNumberFormat="1" applyFont="1" applyFill="1" applyBorder="1" applyAlignment="1">
      <alignment horizontal="right" vertical="center" wrapText="1"/>
    </xf>
    <xf numFmtId="168" fontId="9" fillId="0" borderId="21" xfId="3" applyNumberFormat="1" applyFont="1" applyFill="1" applyBorder="1" applyAlignment="1">
      <alignment horizontal="right" vertical="center" wrapText="1"/>
    </xf>
    <xf numFmtId="164" fontId="9" fillId="0" borderId="0" xfId="1" applyNumberFormat="1" applyFont="1" applyAlignment="1">
      <alignment vertical="center" wrapText="1"/>
    </xf>
    <xf numFmtId="0" fontId="16" fillId="0" borderId="30" xfId="1" applyFont="1" applyFill="1" applyBorder="1" applyAlignment="1">
      <alignment horizontal="left" vertical="center"/>
    </xf>
    <xf numFmtId="0" fontId="9" fillId="0" borderId="0" xfId="1" applyFont="1" applyFill="1" applyBorder="1" applyAlignment="1">
      <alignment horizontal="center" vertical="center" wrapText="1"/>
    </xf>
    <xf numFmtId="0" fontId="9" fillId="0" borderId="33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14" fontId="9" fillId="0" borderId="31" xfId="1" quotePrefix="1" applyNumberFormat="1" applyFont="1" applyFill="1" applyBorder="1" applyAlignment="1">
      <alignment horizontal="center" vertical="center" wrapText="1"/>
    </xf>
    <xf numFmtId="49" fontId="9" fillId="0" borderId="31" xfId="1" applyNumberFormat="1" applyFont="1" applyFill="1" applyBorder="1" applyAlignment="1">
      <alignment horizontal="center" vertical="center" wrapText="1"/>
    </xf>
    <xf numFmtId="164" fontId="9" fillId="0" borderId="31" xfId="2" applyNumberFormat="1" applyFont="1" applyFill="1" applyBorder="1" applyAlignment="1">
      <alignment vertical="center" wrapText="1"/>
    </xf>
    <xf numFmtId="164" fontId="9" fillId="0" borderId="31" xfId="3" applyNumberFormat="1" applyFont="1" applyFill="1" applyBorder="1" applyAlignment="1">
      <alignment horizontal="right" vertical="center" wrapText="1"/>
    </xf>
    <xf numFmtId="164" fontId="9" fillId="3" borderId="31" xfId="3" quotePrefix="1" applyNumberFormat="1" applyFont="1" applyFill="1" applyBorder="1" applyAlignment="1">
      <alignment horizontal="right" vertical="center" wrapText="1"/>
    </xf>
    <xf numFmtId="164" fontId="8" fillId="3" borderId="31" xfId="3" quotePrefix="1" applyNumberFormat="1" applyFont="1" applyFill="1" applyBorder="1" applyAlignment="1">
      <alignment horizontal="right" vertical="center" wrapText="1"/>
    </xf>
    <xf numFmtId="167" fontId="9" fillId="0" borderId="31" xfId="2" quotePrefix="1" applyNumberFormat="1" applyFont="1" applyFill="1" applyBorder="1" applyAlignment="1">
      <alignment horizontal="right" vertical="center" wrapText="1"/>
    </xf>
    <xf numFmtId="164" fontId="9" fillId="0" borderId="32" xfId="3" quotePrefix="1" applyNumberFormat="1" applyFont="1" applyFill="1" applyBorder="1" applyAlignment="1">
      <alignment horizontal="right" vertical="center" wrapText="1"/>
    </xf>
    <xf numFmtId="167" fontId="9" fillId="0" borderId="32" xfId="3" applyNumberFormat="1" applyFont="1" applyFill="1" applyBorder="1" applyAlignment="1">
      <alignment horizontal="right" vertical="center" wrapText="1"/>
    </xf>
    <xf numFmtId="164" fontId="9" fillId="0" borderId="31" xfId="2" applyNumberFormat="1" applyFont="1" applyFill="1" applyBorder="1" applyAlignment="1">
      <alignment horizontal="right" vertical="center" wrapText="1"/>
    </xf>
    <xf numFmtId="164" fontId="8" fillId="0" borderId="31" xfId="3" applyNumberFormat="1" applyFont="1" applyFill="1" applyBorder="1" applyAlignment="1">
      <alignment horizontal="right" vertical="center" wrapText="1"/>
    </xf>
    <xf numFmtId="164" fontId="9" fillId="0" borderId="32" xfId="3" applyNumberFormat="1" applyFont="1" applyFill="1" applyBorder="1" applyAlignment="1">
      <alignment horizontal="right" vertical="center" wrapText="1"/>
    </xf>
    <xf numFmtId="168" fontId="9" fillId="0" borderId="32" xfId="3" applyNumberFormat="1" applyFont="1" applyFill="1" applyBorder="1" applyAlignment="1">
      <alignment horizontal="right" vertical="center" wrapText="1"/>
    </xf>
    <xf numFmtId="164" fontId="8" fillId="0" borderId="31" xfId="2" applyNumberFormat="1" applyFont="1" applyFill="1" applyBorder="1" applyAlignment="1">
      <alignment horizontal="right" vertical="center" wrapText="1"/>
    </xf>
    <xf numFmtId="1" fontId="8" fillId="0" borderId="31" xfId="3" applyNumberFormat="1" applyFont="1" applyFill="1" applyBorder="1" applyAlignment="1">
      <alignment horizontal="center" vertical="center" wrapText="1"/>
    </xf>
    <xf numFmtId="164" fontId="9" fillId="0" borderId="31" xfId="3" applyNumberFormat="1" applyFont="1" applyFill="1" applyBorder="1" applyAlignment="1">
      <alignment horizontal="center" vertical="center" wrapText="1"/>
    </xf>
    <xf numFmtId="0" fontId="19" fillId="5" borderId="27" xfId="1" applyFont="1" applyFill="1" applyBorder="1" applyAlignment="1">
      <alignment vertical="center" wrapText="1"/>
    </xf>
    <xf numFmtId="0" fontId="19" fillId="5" borderId="27" xfId="1" applyFont="1" applyFill="1" applyBorder="1" applyAlignment="1">
      <alignment horizontal="center" vertical="center" wrapText="1"/>
    </xf>
    <xf numFmtId="164" fontId="19" fillId="5" borderId="27" xfId="2" applyNumberFormat="1" applyFont="1" applyFill="1" applyBorder="1" applyAlignment="1">
      <alignment horizontal="right" vertical="center" wrapText="1"/>
    </xf>
    <xf numFmtId="164" fontId="19" fillId="5" borderId="27" xfId="7" applyNumberFormat="1" applyFont="1" applyFill="1" applyBorder="1" applyAlignment="1">
      <alignment horizontal="right" vertical="center" wrapText="1"/>
    </xf>
    <xf numFmtId="164" fontId="19" fillId="5" borderId="27" xfId="2" quotePrefix="1" applyNumberFormat="1" applyFont="1" applyFill="1" applyBorder="1" applyAlignment="1">
      <alignment horizontal="right" vertical="center" wrapText="1"/>
    </xf>
    <xf numFmtId="1" fontId="19" fillId="5" borderId="27" xfId="2" applyNumberFormat="1" applyFont="1" applyFill="1" applyBorder="1" applyAlignment="1">
      <alignment horizontal="center" vertical="center" wrapText="1"/>
    </xf>
    <xf numFmtId="0" fontId="8" fillId="0" borderId="0" xfId="1" applyFont="1" applyAlignment="1">
      <alignment vertical="center" wrapText="1"/>
    </xf>
    <xf numFmtId="0" fontId="19" fillId="0" borderId="34" xfId="1" applyFont="1" applyFill="1" applyBorder="1" applyAlignment="1">
      <alignment horizontal="center" vertical="center" wrapText="1"/>
    </xf>
    <xf numFmtId="0" fontId="19" fillId="0" borderId="35" xfId="1" applyFont="1" applyFill="1" applyBorder="1" applyAlignment="1">
      <alignment horizontal="center" vertical="center" wrapText="1"/>
    </xf>
    <xf numFmtId="0" fontId="19" fillId="0" borderId="36" xfId="1" applyFont="1" applyFill="1" applyBorder="1" applyAlignment="1">
      <alignment vertical="center" wrapText="1"/>
    </xf>
    <xf numFmtId="0" fontId="19" fillId="0" borderId="36" xfId="1" applyFont="1" applyFill="1" applyBorder="1" applyAlignment="1">
      <alignment horizontal="center" vertical="center" wrapText="1"/>
    </xf>
    <xf numFmtId="164" fontId="19" fillId="0" borderId="36" xfId="2" applyNumberFormat="1" applyFont="1" applyFill="1" applyBorder="1" applyAlignment="1">
      <alignment horizontal="right" vertical="center" wrapText="1"/>
    </xf>
    <xf numFmtId="164" fontId="19" fillId="0" borderId="37" xfId="2" applyNumberFormat="1" applyFont="1" applyFill="1" applyBorder="1" applyAlignment="1">
      <alignment horizontal="right" vertical="center" wrapText="1"/>
    </xf>
    <xf numFmtId="164" fontId="19" fillId="0" borderId="32" xfId="2" applyNumberFormat="1" applyFont="1" applyFill="1" applyBorder="1" applyAlignment="1">
      <alignment horizontal="right" vertical="center" wrapText="1"/>
    </xf>
    <xf numFmtId="164" fontId="19" fillId="0" borderId="31" xfId="2" applyNumberFormat="1" applyFont="1" applyFill="1" applyBorder="1" applyAlignment="1">
      <alignment horizontal="right" vertical="center" wrapText="1"/>
    </xf>
    <xf numFmtId="1" fontId="19" fillId="0" borderId="31" xfId="2" applyNumberFormat="1" applyFont="1" applyFill="1" applyBorder="1" applyAlignment="1">
      <alignment horizontal="center" vertical="center" wrapText="1"/>
    </xf>
    <xf numFmtId="0" fontId="8" fillId="0" borderId="0" xfId="1" applyFont="1" applyFill="1" applyAlignment="1">
      <alignment vertical="center" wrapText="1"/>
    </xf>
    <xf numFmtId="0" fontId="18" fillId="0" borderId="23" xfId="0" applyFont="1" applyBorder="1"/>
    <xf numFmtId="0" fontId="9" fillId="0" borderId="19" xfId="1" applyFont="1" applyFill="1" applyBorder="1" applyAlignment="1">
      <alignment horizontal="center" vertical="center" wrapText="1"/>
    </xf>
    <xf numFmtId="0" fontId="9" fillId="0" borderId="23" xfId="1" applyFont="1" applyFill="1" applyBorder="1" applyAlignment="1">
      <alignment horizontal="center" vertical="center" wrapText="1"/>
    </xf>
    <xf numFmtId="0" fontId="9" fillId="0" borderId="17" xfId="1" applyFont="1" applyFill="1" applyBorder="1" applyAlignment="1">
      <alignment vertical="center" wrapText="1"/>
    </xf>
    <xf numFmtId="0" fontId="9" fillId="0" borderId="0" xfId="1" applyFont="1" applyFill="1" applyBorder="1" applyAlignment="1">
      <alignment vertical="center" wrapText="1"/>
    </xf>
    <xf numFmtId="0" fontId="19" fillId="0" borderId="0" xfId="1" applyFont="1" applyFill="1" applyBorder="1" applyAlignment="1">
      <alignment horizontal="center" vertical="center" wrapText="1"/>
    </xf>
    <xf numFmtId="0" fontId="19" fillId="0" borderId="33" xfId="1" applyFont="1" applyFill="1" applyBorder="1" applyAlignment="1">
      <alignment horizontal="center" vertical="center" wrapText="1"/>
    </xf>
    <xf numFmtId="0" fontId="19" fillId="0" borderId="31" xfId="1" applyFont="1" applyFill="1" applyBorder="1" applyAlignment="1">
      <alignment vertical="center" wrapText="1"/>
    </xf>
    <xf numFmtId="0" fontId="19" fillId="0" borderId="31" xfId="1" applyFont="1" applyFill="1" applyBorder="1" applyAlignment="1">
      <alignment horizontal="center" vertical="center" wrapText="1"/>
    </xf>
    <xf numFmtId="0" fontId="17" fillId="0" borderId="28" xfId="1" applyFont="1" applyFill="1" applyBorder="1" applyAlignment="1">
      <alignment horizontal="left" vertical="center"/>
    </xf>
    <xf numFmtId="165" fontId="9" fillId="0" borderId="18" xfId="3" applyNumberFormat="1" applyFont="1" applyFill="1" applyBorder="1" applyAlignment="1">
      <alignment horizontal="right" vertical="center" wrapText="1"/>
    </xf>
    <xf numFmtId="0" fontId="9" fillId="0" borderId="18" xfId="1" quotePrefix="1" applyFont="1" applyFill="1" applyBorder="1" applyAlignment="1">
      <alignment horizontal="center" vertical="center" wrapText="1"/>
    </xf>
    <xf numFmtId="0" fontId="9" fillId="0" borderId="31" xfId="1" quotePrefix="1" applyFont="1" applyFill="1" applyBorder="1" applyAlignment="1">
      <alignment horizontal="center" vertical="center" wrapText="1"/>
    </xf>
    <xf numFmtId="1" fontId="19" fillId="5" borderId="8" xfId="1" applyNumberFormat="1" applyFont="1" applyFill="1" applyBorder="1" applyAlignment="1">
      <alignment horizontal="center" vertical="center" wrapText="1"/>
    </xf>
    <xf numFmtId="0" fontId="19" fillId="5" borderId="8" xfId="1" applyFont="1" applyFill="1" applyBorder="1" applyAlignment="1">
      <alignment vertical="center" wrapText="1"/>
    </xf>
    <xf numFmtId="1" fontId="19" fillId="0" borderId="31" xfId="1" applyNumberFormat="1" applyFont="1" applyFill="1" applyBorder="1" applyAlignment="1">
      <alignment horizontal="center" vertical="center" wrapText="1"/>
    </xf>
    <xf numFmtId="0" fontId="19" fillId="0" borderId="25" xfId="1" applyFont="1" applyFill="1" applyBorder="1" applyAlignment="1">
      <alignment horizontal="center" vertical="center" wrapText="1"/>
    </xf>
    <xf numFmtId="0" fontId="19" fillId="0" borderId="26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vertical="center" wrapText="1"/>
    </xf>
    <xf numFmtId="0" fontId="19" fillId="0" borderId="27" xfId="1" applyFont="1" applyFill="1" applyBorder="1" applyAlignment="1">
      <alignment horizontal="center" vertical="center" wrapText="1"/>
    </xf>
    <xf numFmtId="164" fontId="19" fillId="0" borderId="27" xfId="2" applyNumberFormat="1" applyFont="1" applyFill="1" applyBorder="1" applyAlignment="1">
      <alignment horizontal="right" vertical="center" wrapText="1"/>
    </xf>
    <xf numFmtId="1" fontId="19" fillId="0" borderId="8" xfId="1" applyNumberFormat="1" applyFont="1" applyFill="1" applyBorder="1" applyAlignment="1">
      <alignment horizontal="center" vertical="center" wrapText="1"/>
    </xf>
    <xf numFmtId="0" fontId="19" fillId="0" borderId="8" xfId="1" applyFont="1" applyFill="1" applyBorder="1" applyAlignment="1">
      <alignment vertical="center" wrapText="1"/>
    </xf>
    <xf numFmtId="0" fontId="11" fillId="0" borderId="0" xfId="6" applyFont="1" applyFill="1"/>
    <xf numFmtId="164" fontId="11" fillId="0" borderId="0" xfId="6" applyNumberFormat="1" applyFont="1" applyFill="1" applyAlignment="1"/>
    <xf numFmtId="0" fontId="11" fillId="0" borderId="0" xfId="6" applyFont="1" applyFill="1" applyAlignment="1"/>
    <xf numFmtId="0" fontId="11" fillId="0" borderId="0" xfId="6" applyFont="1" applyFill="1" applyAlignment="1">
      <alignment horizontal="center" vertical="center"/>
    </xf>
    <xf numFmtId="0" fontId="11" fillId="0" borderId="0" xfId="6" applyFont="1" applyFill="1" applyAlignment="1">
      <alignment horizontal="center"/>
    </xf>
    <xf numFmtId="164" fontId="11" fillId="0" borderId="0" xfId="2" applyNumberFormat="1" applyFont="1" applyFill="1"/>
    <xf numFmtId="0" fontId="20" fillId="0" borderId="0" xfId="6" applyFont="1" applyFill="1"/>
    <xf numFmtId="43" fontId="21" fillId="0" borderId="0" xfId="6" applyNumberFormat="1" applyFont="1" applyFill="1"/>
    <xf numFmtId="43" fontId="22" fillId="0" borderId="0" xfId="6" applyNumberFormat="1" applyFont="1" applyFill="1"/>
    <xf numFmtId="164" fontId="11" fillId="0" borderId="0" xfId="3" applyNumberFormat="1" applyFont="1" applyFill="1"/>
    <xf numFmtId="164" fontId="11" fillId="0" borderId="0" xfId="6" applyNumberFormat="1" applyFont="1" applyFill="1"/>
    <xf numFmtId="164" fontId="9" fillId="0" borderId="0" xfId="3" applyNumberFormat="1" applyFont="1" applyFill="1" applyBorder="1" applyAlignment="1">
      <alignment horizontal="right" vertical="center" wrapText="1"/>
    </xf>
    <xf numFmtId="164" fontId="21" fillId="0" borderId="0" xfId="6" applyNumberFormat="1" applyFont="1" applyFill="1"/>
    <xf numFmtId="0" fontId="11" fillId="0" borderId="0" xfId="6" applyFont="1"/>
    <xf numFmtId="164" fontId="21" fillId="0" borderId="0" xfId="2" applyNumberFormat="1" applyFont="1"/>
    <xf numFmtId="0" fontId="21" fillId="0" borderId="0" xfId="6" applyFont="1" applyFill="1"/>
    <xf numFmtId="164" fontId="20" fillId="0" borderId="0" xfId="2" applyNumberFormat="1" applyFont="1"/>
    <xf numFmtId="164" fontId="11" fillId="0" borderId="0" xfId="2" applyNumberFormat="1" applyFont="1"/>
    <xf numFmtId="41" fontId="20" fillId="0" borderId="0" xfId="6" applyNumberFormat="1" applyFont="1" applyFill="1" applyAlignment="1"/>
    <xf numFmtId="164" fontId="20" fillId="0" borderId="0" xfId="6" applyNumberFormat="1" applyFont="1" applyFill="1"/>
    <xf numFmtId="165" fontId="20" fillId="0" borderId="0" xfId="6" applyNumberFormat="1" applyFont="1" applyFill="1"/>
    <xf numFmtId="164" fontId="20" fillId="0" borderId="0" xfId="6" applyNumberFormat="1" applyFont="1"/>
    <xf numFmtId="164" fontId="22" fillId="0" borderId="0" xfId="2" applyNumberFormat="1" applyFont="1" applyAlignment="1"/>
    <xf numFmtId="0" fontId="22" fillId="0" borderId="0" xfId="6" applyFont="1" applyFill="1" applyAlignment="1"/>
    <xf numFmtId="0" fontId="20" fillId="0" borderId="0" xfId="6" applyFont="1" applyFill="1" applyAlignment="1"/>
    <xf numFmtId="1" fontId="11" fillId="0" borderId="0" xfId="2" applyNumberFormat="1" applyFont="1" applyAlignment="1">
      <alignment horizontal="center"/>
    </xf>
    <xf numFmtId="0" fontId="9" fillId="0" borderId="0" xfId="6" applyFont="1"/>
    <xf numFmtId="0" fontId="9" fillId="0" borderId="0" xfId="6" applyFont="1" applyAlignment="1"/>
    <xf numFmtId="0" fontId="9" fillId="0" borderId="0" xfId="6" applyFont="1" applyAlignment="1">
      <alignment horizontal="center" vertical="center"/>
    </xf>
    <xf numFmtId="0" fontId="9" fillId="0" borderId="0" xfId="6" applyFont="1" applyAlignment="1">
      <alignment horizontal="center"/>
    </xf>
    <xf numFmtId="0" fontId="8" fillId="0" borderId="0" xfId="6" applyFont="1"/>
    <xf numFmtId="0" fontId="9" fillId="0" borderId="0" xfId="6" applyFont="1" applyFill="1"/>
    <xf numFmtId="164" fontId="15" fillId="0" borderId="0" xfId="2" applyNumberFormat="1" applyFont="1" applyFill="1"/>
    <xf numFmtId="1" fontId="11" fillId="0" borderId="0" xfId="6" applyNumberFormat="1" applyFont="1" applyAlignment="1">
      <alignment horizontal="center"/>
    </xf>
    <xf numFmtId="0" fontId="19" fillId="5" borderId="26" xfId="1" applyFont="1" applyFill="1" applyBorder="1" applyAlignment="1">
      <alignment horizontal="center" vertical="center" wrapText="1"/>
    </xf>
    <xf numFmtId="164" fontId="24" fillId="4" borderId="8" xfId="7" applyNumberFormat="1" applyFont="1" applyFill="1" applyBorder="1" applyAlignment="1">
      <alignment horizontal="center" vertical="center" wrapText="1"/>
    </xf>
    <xf numFmtId="0" fontId="24" fillId="2" borderId="8" xfId="1" applyFont="1" applyFill="1" applyBorder="1" applyAlignment="1">
      <alignment horizontal="center" vertical="center"/>
    </xf>
    <xf numFmtId="0" fontId="24" fillId="2" borderId="8" xfId="1" applyFont="1" applyFill="1" applyBorder="1" applyAlignment="1">
      <alignment horizontal="center" vertical="center" wrapText="1"/>
    </xf>
    <xf numFmtId="164" fontId="9" fillId="0" borderId="31" xfId="3" quotePrefix="1" applyNumberFormat="1" applyFont="1" applyFill="1" applyBorder="1" applyAlignment="1">
      <alignment horizontal="right" vertical="center" wrapText="1"/>
    </xf>
    <xf numFmtId="0" fontId="26" fillId="2" borderId="8" xfId="1" applyFont="1" applyFill="1" applyBorder="1" applyAlignment="1">
      <alignment horizontal="center" vertical="center" wrapText="1"/>
    </xf>
    <xf numFmtId="0" fontId="24" fillId="4" borderId="8" xfId="1" applyFont="1" applyFill="1" applyBorder="1" applyAlignment="1">
      <alignment horizontal="center" vertical="center" wrapText="1"/>
    </xf>
    <xf numFmtId="0" fontId="26" fillId="4" borderId="8" xfId="1" applyFont="1" applyFill="1" applyBorder="1" applyAlignment="1">
      <alignment horizontal="center" vertical="center" wrapText="1"/>
    </xf>
    <xf numFmtId="0" fontId="9" fillId="2" borderId="39" xfId="1" applyFont="1" applyFill="1" applyBorder="1" applyAlignment="1">
      <alignment horizontal="center" vertical="center" wrapText="1"/>
    </xf>
    <xf numFmtId="0" fontId="9" fillId="2" borderId="41" xfId="1" applyFont="1" applyFill="1" applyBorder="1" applyAlignment="1">
      <alignment horizontal="center" vertical="center" wrapText="1"/>
    </xf>
    <xf numFmtId="0" fontId="9" fillId="2" borderId="40" xfId="1" applyFont="1" applyFill="1" applyBorder="1" applyAlignment="1">
      <alignment horizontal="center" vertical="center" wrapText="1"/>
    </xf>
    <xf numFmtId="9" fontId="9" fillId="4" borderId="4" xfId="8" applyFont="1" applyFill="1" applyBorder="1" applyAlignment="1">
      <alignment vertical="center" wrapText="1"/>
    </xf>
    <xf numFmtId="9" fontId="9" fillId="4" borderId="11" xfId="8" applyFont="1" applyFill="1" applyBorder="1" applyAlignment="1">
      <alignment vertical="center" wrapText="1"/>
    </xf>
    <xf numFmtId="9" fontId="25" fillId="4" borderId="8" xfId="8" applyFont="1" applyFill="1" applyBorder="1" applyAlignment="1">
      <alignment horizontal="center" vertical="center" wrapText="1"/>
    </xf>
    <xf numFmtId="9" fontId="27" fillId="4" borderId="8" xfId="8" applyFont="1" applyFill="1" applyBorder="1" applyAlignment="1">
      <alignment horizontal="center" vertical="center" wrapText="1"/>
    </xf>
    <xf numFmtId="9" fontId="25" fillId="2" borderId="8" xfId="8" applyFont="1" applyFill="1" applyBorder="1" applyAlignment="1">
      <alignment horizontal="center" vertical="center" wrapText="1"/>
    </xf>
    <xf numFmtId="9" fontId="25" fillId="2" borderId="8" xfId="1" applyNumberFormat="1" applyFont="1" applyFill="1" applyBorder="1" applyAlignment="1">
      <alignment horizontal="center" vertical="center" wrapText="1"/>
    </xf>
    <xf numFmtId="164" fontId="25" fillId="4" borderId="8" xfId="7" applyNumberFormat="1" applyFont="1" applyFill="1" applyBorder="1" applyAlignment="1">
      <alignment horizontal="center" vertical="center" wrapText="1"/>
    </xf>
    <xf numFmtId="164" fontId="24" fillId="2" borderId="39" xfId="7" applyNumberFormat="1" applyFont="1" applyFill="1" applyBorder="1" applyAlignment="1">
      <alignment horizontal="center" vertical="center" wrapText="1"/>
    </xf>
    <xf numFmtId="164" fontId="27" fillId="2" borderId="38" xfId="7" applyNumberFormat="1" applyFont="1" applyFill="1" applyBorder="1" applyAlignment="1">
      <alignment horizontal="center" vertical="center" wrapText="1"/>
    </xf>
    <xf numFmtId="0" fontId="24" fillId="2" borderId="38" xfId="1" applyFont="1" applyFill="1" applyBorder="1" applyAlignment="1">
      <alignment horizontal="center" vertical="center" wrapText="1"/>
    </xf>
    <xf numFmtId="0" fontId="24" fillId="3" borderId="8" xfId="1" applyFont="1" applyFill="1" applyBorder="1" applyAlignment="1">
      <alignment horizontal="center" vertical="center" wrapText="1"/>
    </xf>
    <xf numFmtId="164" fontId="19" fillId="5" borderId="27" xfId="2" applyNumberFormat="1" applyFont="1" applyFill="1" applyBorder="1" applyAlignment="1">
      <alignment horizontal="right" vertical="center" wrapText="1"/>
    </xf>
    <xf numFmtId="164" fontId="23" fillId="0" borderId="0" xfId="6" applyNumberFormat="1" applyFont="1" applyFill="1" applyAlignment="1">
      <alignment vertical="center"/>
    </xf>
    <xf numFmtId="0" fontId="9" fillId="2" borderId="2" xfId="1" applyFont="1" applyFill="1" applyBorder="1" applyAlignment="1">
      <alignment horizontal="center" vertical="center" wrapText="1"/>
    </xf>
    <xf numFmtId="0" fontId="9" fillId="2" borderId="3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0" fontId="25" fillId="2" borderId="36" xfId="1" applyFont="1" applyFill="1" applyBorder="1" applyAlignment="1">
      <alignment horizontal="center" vertical="center" wrapText="1"/>
    </xf>
    <xf numFmtId="0" fontId="25" fillId="2" borderId="11" xfId="1" applyFont="1" applyFill="1" applyBorder="1" applyAlignment="1">
      <alignment horizontal="center" vertical="center" wrapText="1"/>
    </xf>
    <xf numFmtId="0" fontId="25" fillId="3" borderId="36" xfId="1" applyFont="1" applyFill="1" applyBorder="1" applyAlignment="1">
      <alignment horizontal="center" vertical="center" wrapText="1"/>
    </xf>
    <xf numFmtId="0" fontId="25" fillId="3" borderId="11" xfId="1" applyFont="1" applyFill="1" applyBorder="1" applyAlignment="1">
      <alignment horizontal="center" vertical="center" wrapText="1"/>
    </xf>
    <xf numFmtId="9" fontId="9" fillId="4" borderId="37" xfId="8" applyFont="1" applyFill="1" applyBorder="1" applyAlignment="1">
      <alignment horizontal="center" vertical="center" wrapText="1"/>
    </xf>
    <xf numFmtId="9" fontId="9" fillId="4" borderId="35" xfId="8" applyFont="1" applyFill="1" applyBorder="1" applyAlignment="1">
      <alignment horizontal="center" vertical="center" wrapText="1"/>
    </xf>
    <xf numFmtId="9" fontId="9" fillId="4" borderId="39" xfId="8" applyFont="1" applyFill="1" applyBorder="1" applyAlignment="1">
      <alignment horizontal="center" vertical="center" wrapText="1"/>
    </xf>
    <xf numFmtId="9" fontId="9" fillId="4" borderId="40" xfId="8" applyFont="1" applyFill="1" applyBorder="1" applyAlignment="1">
      <alignment horizontal="center" vertical="center" wrapText="1"/>
    </xf>
    <xf numFmtId="0" fontId="14" fillId="4" borderId="5" xfId="1" applyFont="1" applyFill="1" applyBorder="1" applyAlignment="1">
      <alignment horizontal="center" vertical="center" wrapText="1"/>
    </xf>
    <xf numFmtId="0" fontId="14" fillId="4" borderId="7" xfId="1" applyFont="1" applyFill="1" applyBorder="1" applyAlignment="1">
      <alignment horizontal="center" vertical="center" wrapText="1"/>
    </xf>
    <xf numFmtId="0" fontId="14" fillId="4" borderId="39" xfId="1" applyFont="1" applyFill="1" applyBorder="1" applyAlignment="1">
      <alignment horizontal="center" vertical="center" wrapText="1"/>
    </xf>
    <xf numFmtId="0" fontId="14" fillId="4" borderId="40" xfId="1" applyFont="1" applyFill="1" applyBorder="1" applyAlignment="1">
      <alignment horizontal="center" vertical="center" wrapText="1"/>
    </xf>
    <xf numFmtId="0" fontId="25" fillId="4" borderId="38" xfId="1" applyFont="1" applyFill="1" applyBorder="1" applyAlignment="1">
      <alignment horizontal="center" vertical="center" wrapText="1"/>
    </xf>
    <xf numFmtId="0" fontId="25" fillId="4" borderId="42" xfId="1" applyFont="1" applyFill="1" applyBorder="1" applyAlignment="1">
      <alignment horizontal="center" vertical="center" wrapText="1"/>
    </xf>
    <xf numFmtId="0" fontId="25" fillId="4" borderId="10" xfId="1" applyFont="1" applyFill="1" applyBorder="1" applyAlignment="1">
      <alignment horizontal="center" vertical="center" wrapText="1"/>
    </xf>
    <xf numFmtId="0" fontId="25" fillId="2" borderId="37" xfId="1" applyFont="1" applyFill="1" applyBorder="1" applyAlignment="1">
      <alignment horizontal="center" vertical="center" wrapText="1"/>
    </xf>
    <xf numFmtId="0" fontId="25" fillId="2" borderId="35" xfId="1" applyFont="1" applyFill="1" applyBorder="1" applyAlignment="1">
      <alignment horizontal="center" vertical="center" wrapText="1"/>
    </xf>
    <xf numFmtId="0" fontId="25" fillId="2" borderId="39" xfId="1" applyFont="1" applyFill="1" applyBorder="1" applyAlignment="1">
      <alignment horizontal="center" vertical="center" wrapText="1"/>
    </xf>
    <xf numFmtId="0" fontId="25" fillId="2" borderId="40" xfId="1" applyFont="1" applyFill="1" applyBorder="1" applyAlignment="1">
      <alignment horizontal="center" vertical="center" wrapText="1"/>
    </xf>
    <xf numFmtId="0" fontId="27" fillId="3" borderId="36" xfId="1" applyFont="1" applyFill="1" applyBorder="1" applyAlignment="1">
      <alignment horizontal="center" vertical="center" wrapText="1"/>
    </xf>
    <xf numFmtId="0" fontId="27" fillId="3" borderId="11" xfId="1" applyFont="1" applyFill="1" applyBorder="1" applyAlignment="1">
      <alignment horizontal="center" vertical="center" wrapText="1"/>
    </xf>
    <xf numFmtId="0" fontId="19" fillId="5" borderId="24" xfId="1" applyFont="1" applyFill="1" applyBorder="1" applyAlignment="1">
      <alignment horizontal="center" vertical="center" wrapText="1"/>
    </xf>
    <xf numFmtId="0" fontId="19" fillId="5" borderId="25" xfId="1" applyFont="1" applyFill="1" applyBorder="1" applyAlignment="1">
      <alignment horizontal="center" vertical="center" wrapText="1"/>
    </xf>
    <xf numFmtId="0" fontId="19" fillId="5" borderId="26" xfId="1" applyFont="1" applyFill="1" applyBorder="1" applyAlignment="1">
      <alignment horizontal="center" vertical="center" wrapText="1"/>
    </xf>
    <xf numFmtId="0" fontId="12" fillId="0" borderId="0" xfId="1" applyFont="1" applyFill="1" applyAlignment="1">
      <alignment horizontal="left" vertical="center" wrapText="1"/>
    </xf>
    <xf numFmtId="0" fontId="12" fillId="0" borderId="0" xfId="1" applyFont="1" applyFill="1" applyAlignment="1">
      <alignment horizontal="left" vertical="center"/>
    </xf>
    <xf numFmtId="0" fontId="9" fillId="4" borderId="4" xfId="1" applyFont="1" applyFill="1" applyBorder="1" applyAlignment="1">
      <alignment horizontal="center" vertical="center" wrapText="1"/>
    </xf>
    <xf numFmtId="0" fontId="9" fillId="4" borderId="31" xfId="1" applyFont="1" applyFill="1" applyBorder="1" applyAlignment="1">
      <alignment horizontal="center" vertical="center" wrapText="1"/>
    </xf>
    <xf numFmtId="0" fontId="9" fillId="4" borderId="11" xfId="1" applyFont="1" applyFill="1" applyBorder="1" applyAlignment="1">
      <alignment horizontal="center" vertical="center" wrapText="1"/>
    </xf>
    <xf numFmtId="0" fontId="25" fillId="2" borderId="38" xfId="1" applyFont="1" applyFill="1" applyBorder="1" applyAlignment="1">
      <alignment horizontal="center" vertical="center" wrapText="1"/>
    </xf>
    <xf numFmtId="0" fontId="25" fillId="2" borderId="10" xfId="1" applyFont="1" applyFill="1" applyBorder="1" applyAlignment="1">
      <alignment horizontal="center" vertical="center" wrapText="1"/>
    </xf>
    <xf numFmtId="0" fontId="25" fillId="2" borderId="42" xfId="1" applyFont="1" applyFill="1" applyBorder="1" applyAlignment="1">
      <alignment horizontal="center" vertical="center" wrapText="1"/>
    </xf>
    <xf numFmtId="0" fontId="9" fillId="2" borderId="4" xfId="1" applyFont="1" applyFill="1" applyBorder="1" applyAlignment="1">
      <alignment horizontal="center" vertical="center" wrapText="1"/>
    </xf>
    <xf numFmtId="0" fontId="9" fillId="2" borderId="31" xfId="1" applyFont="1" applyFill="1" applyBorder="1" applyAlignment="1">
      <alignment horizontal="center" vertical="center" wrapText="1"/>
    </xf>
    <xf numFmtId="0" fontId="9" fillId="2" borderId="11" xfId="1" applyFont="1" applyFill="1" applyBorder="1" applyAlignment="1">
      <alignment horizontal="center" vertical="center" wrapText="1"/>
    </xf>
    <xf numFmtId="164" fontId="9" fillId="2" borderId="4" xfId="2" applyNumberFormat="1" applyFont="1" applyFill="1" applyBorder="1" applyAlignment="1">
      <alignment horizontal="center" vertical="center" wrapText="1"/>
    </xf>
    <xf numFmtId="164" fontId="9" fillId="2" borderId="31" xfId="2" applyNumberFormat="1" applyFont="1" applyFill="1" applyBorder="1" applyAlignment="1">
      <alignment horizontal="center" vertical="center" wrapText="1"/>
    </xf>
    <xf numFmtId="164" fontId="9" fillId="2" borderId="11" xfId="2" applyNumberFormat="1" applyFont="1" applyFill="1" applyBorder="1" applyAlignment="1">
      <alignment horizontal="center" vertical="center" wrapText="1"/>
    </xf>
    <xf numFmtId="0" fontId="25" fillId="2" borderId="36" xfId="1" applyFont="1" applyFill="1" applyBorder="1" applyAlignment="1">
      <alignment horizontal="center" vertical="center"/>
    </xf>
    <xf numFmtId="0" fontId="25" fillId="2" borderId="11" xfId="1" applyFont="1" applyFill="1" applyBorder="1" applyAlignment="1">
      <alignment horizontal="center" vertical="center"/>
    </xf>
    <xf numFmtId="0" fontId="25" fillId="2" borderId="37" xfId="1" applyFont="1" applyFill="1" applyBorder="1" applyAlignment="1">
      <alignment horizontal="center" vertical="center"/>
    </xf>
    <xf numFmtId="0" fontId="25" fillId="2" borderId="35" xfId="1" applyFont="1" applyFill="1" applyBorder="1" applyAlignment="1">
      <alignment horizontal="center" vertical="center"/>
    </xf>
    <xf numFmtId="0" fontId="25" fillId="2" borderId="39" xfId="1" applyFont="1" applyFill="1" applyBorder="1" applyAlignment="1">
      <alignment horizontal="center" vertical="center"/>
    </xf>
    <xf numFmtId="0" fontId="25" fillId="2" borderId="40" xfId="1" applyFont="1" applyFill="1" applyBorder="1" applyAlignment="1">
      <alignment horizontal="center" vertical="center"/>
    </xf>
    <xf numFmtId="0" fontId="25" fillId="2" borderId="31" xfId="1" applyFont="1" applyFill="1" applyBorder="1" applyAlignment="1">
      <alignment horizontal="center" vertical="center" wrapText="1"/>
    </xf>
    <xf numFmtId="0" fontId="14" fillId="4" borderId="6" xfId="1" applyFont="1" applyFill="1" applyBorder="1" applyAlignment="1">
      <alignment horizontal="center" vertical="center" wrapText="1"/>
    </xf>
    <xf numFmtId="0" fontId="14" fillId="4" borderId="41" xfId="1" applyFont="1" applyFill="1" applyBorder="1" applyAlignment="1">
      <alignment horizontal="center" vertical="center" wrapText="1"/>
    </xf>
    <xf numFmtId="0" fontId="27" fillId="4" borderId="38" xfId="1" applyFont="1" applyFill="1" applyBorder="1" applyAlignment="1">
      <alignment horizontal="center" vertical="center" wrapText="1"/>
    </xf>
    <xf numFmtId="0" fontId="27" fillId="4" borderId="10" xfId="1" applyFont="1" applyFill="1" applyBorder="1" applyAlignment="1">
      <alignment horizontal="center" vertical="center" wrapText="1"/>
    </xf>
    <xf numFmtId="9" fontId="27" fillId="4" borderId="36" xfId="8" applyFont="1" applyFill="1" applyBorder="1" applyAlignment="1">
      <alignment horizontal="center" vertical="center" wrapText="1"/>
    </xf>
    <xf numFmtId="9" fontId="27" fillId="4" borderId="11" xfId="8" applyFont="1" applyFill="1" applyBorder="1" applyAlignment="1">
      <alignment horizontal="center" vertical="center" wrapText="1"/>
    </xf>
    <xf numFmtId="164" fontId="25" fillId="2" borderId="37" xfId="7" applyNumberFormat="1" applyFont="1" applyFill="1" applyBorder="1" applyAlignment="1">
      <alignment horizontal="center" vertical="center" wrapText="1"/>
    </xf>
    <xf numFmtId="164" fontId="25" fillId="2" borderId="34" xfId="7" applyNumberFormat="1" applyFont="1" applyFill="1" applyBorder="1" applyAlignment="1">
      <alignment horizontal="center" vertical="center" wrapText="1"/>
    </xf>
    <xf numFmtId="164" fontId="25" fillId="2" borderId="35" xfId="7" applyNumberFormat="1" applyFont="1" applyFill="1" applyBorder="1" applyAlignment="1">
      <alignment horizontal="center" vertical="center" wrapText="1"/>
    </xf>
    <xf numFmtId="164" fontId="25" fillId="2" borderId="39" xfId="7" applyNumberFormat="1" applyFont="1" applyFill="1" applyBorder="1" applyAlignment="1">
      <alignment horizontal="center" vertical="center" wrapText="1"/>
    </xf>
    <xf numFmtId="164" fontId="25" fillId="2" borderId="41" xfId="7" applyNumberFormat="1" applyFont="1" applyFill="1" applyBorder="1" applyAlignment="1">
      <alignment horizontal="center" vertical="center" wrapText="1"/>
    </xf>
    <xf numFmtId="164" fontId="25" fillId="2" borderId="40" xfId="7" applyNumberFormat="1" applyFont="1" applyFill="1" applyBorder="1" applyAlignment="1">
      <alignment horizontal="center" vertical="center" wrapText="1"/>
    </xf>
    <xf numFmtId="0" fontId="25" fillId="4" borderId="36" xfId="1" applyFont="1" applyFill="1" applyBorder="1" applyAlignment="1">
      <alignment horizontal="center" vertical="center" wrapText="1"/>
    </xf>
    <xf numFmtId="0" fontId="25" fillId="4" borderId="11" xfId="1" applyFont="1" applyFill="1" applyBorder="1" applyAlignment="1">
      <alignment horizontal="center" vertical="center" wrapText="1"/>
    </xf>
    <xf numFmtId="0" fontId="24" fillId="2" borderId="39" xfId="1" applyFont="1" applyFill="1" applyBorder="1" applyAlignment="1">
      <alignment horizontal="center" vertical="center" wrapText="1"/>
    </xf>
    <xf numFmtId="0" fontId="24" fillId="2" borderId="41" xfId="1" applyFont="1" applyFill="1" applyBorder="1" applyAlignment="1">
      <alignment horizontal="center" vertical="center" wrapText="1"/>
    </xf>
    <xf numFmtId="0" fontId="24" fillId="2" borderId="40" xfId="1" applyFont="1" applyFill="1" applyBorder="1" applyAlignment="1">
      <alignment horizontal="center" vertical="center" wrapText="1"/>
    </xf>
    <xf numFmtId="0" fontId="25" fillId="4" borderId="37" xfId="1" applyFont="1" applyFill="1" applyBorder="1" applyAlignment="1">
      <alignment horizontal="center" vertical="center" wrapText="1"/>
    </xf>
    <xf numFmtId="0" fontId="25" fillId="4" borderId="35" xfId="1" applyFont="1" applyFill="1" applyBorder="1" applyAlignment="1">
      <alignment horizontal="center" vertical="center" wrapText="1"/>
    </xf>
    <xf numFmtId="0" fontId="25" fillId="4" borderId="39" xfId="1" applyFont="1" applyFill="1" applyBorder="1" applyAlignment="1">
      <alignment horizontal="center" vertical="center" wrapText="1"/>
    </xf>
    <xf numFmtId="0" fontId="25" fillId="4" borderId="40" xfId="1" applyFont="1" applyFill="1" applyBorder="1" applyAlignment="1">
      <alignment horizontal="center" vertical="center" wrapText="1"/>
    </xf>
    <xf numFmtId="164" fontId="25" fillId="2" borderId="36" xfId="7" applyNumberFormat="1" applyFont="1" applyFill="1" applyBorder="1" applyAlignment="1">
      <alignment horizontal="center" vertical="center" wrapText="1"/>
    </xf>
    <xf numFmtId="164" fontId="25" fillId="2" borderId="11" xfId="7" applyNumberFormat="1" applyFont="1" applyFill="1" applyBorder="1" applyAlignment="1">
      <alignment horizontal="center" vertical="center" wrapText="1"/>
    </xf>
    <xf numFmtId="0" fontId="24" fillId="2" borderId="38" xfId="1" applyFont="1" applyFill="1" applyBorder="1" applyAlignment="1">
      <alignment horizontal="center" vertical="center" wrapText="1"/>
    </xf>
    <xf numFmtId="0" fontId="24" fillId="2" borderId="10" xfId="1" applyFont="1" applyFill="1" applyBorder="1" applyAlignment="1">
      <alignment horizontal="center" vertical="center" wrapText="1"/>
    </xf>
  </cellXfs>
  <cellStyles count="9">
    <cellStyle name="Comma" xfId="7" builtinId="3"/>
    <cellStyle name="Comma 2" xfId="3"/>
    <cellStyle name="Normal" xfId="0" builtinId="0"/>
    <cellStyle name="Normal_Bang chi tiet tien luong." xfId="6"/>
    <cellStyle name="Normal_KCC_2007 2_Payroll_YC_2009" xfId="1"/>
    <cellStyle name="Percent" xfId="8" builtinId="5"/>
    <cellStyle name="千位分隔 2" xfId="2"/>
    <cellStyle name="百分比 2" xfId="5"/>
    <cellStyle name="货币 2" xfId="4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8"/>
      <tableStyleElement type="headerRow" dxfId="7"/>
    </tableStyle>
  </tableStyles>
  <colors>
    <mruColors>
      <color rgb="FFCCFF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externalLinkPath" Target="file:///C:\Users\10188\Desktop\HAE%20-%20PAYROLL_2018.03-%20&#24037;&#36164;&#25253;&#34920;.xlsx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N94"/>
  <sheetViews>
    <sheetView tabSelected="1" zoomScaleNormal="100" workbookViewId="0">
      <pane xSplit="9" ySplit="10" topLeftCell="J11" activePane="bottomRight" state="frozen"/>
      <selection pane="topRight" activeCell="G1" sqref="G1"/>
      <selection pane="bottomLeft" activeCell="A10" sqref="A10"/>
      <selection pane="bottomRight"/>
    </sheetView>
  </sheetViews>
  <sheetFormatPr defaultColWidth="9.140625" defaultRowHeight="12" outlineLevelCol="1"/>
  <cols>
    <col min="1" max="1" width="4.7109375" style="194" customWidth="1"/>
    <col min="2" max="2" width="9.85546875" style="194" customWidth="1"/>
    <col min="3" max="5" width="18.28515625" style="195" customWidth="1"/>
    <col min="6" max="7" width="10.28515625" style="195" customWidth="1"/>
    <col min="8" max="8" width="9.85546875" style="196" customWidth="1"/>
    <col min="9" max="9" width="11.28515625" style="197" customWidth="1"/>
    <col min="10" max="10" width="11.7109375" style="194" customWidth="1"/>
    <col min="11" max="12" width="10.7109375" style="6" bestFit="1" customWidth="1"/>
    <col min="13" max="14" width="10.7109375" style="6" customWidth="1"/>
    <col min="15" max="15" width="10.85546875" style="6" customWidth="1"/>
    <col min="16" max="16" width="10.7109375" style="6" bestFit="1" customWidth="1"/>
    <col min="17" max="19" width="10.7109375" style="6" customWidth="1"/>
    <col min="20" max="20" width="17.28515625" style="6" customWidth="1"/>
    <col min="21" max="21" width="11.7109375" style="7" bestFit="1" customWidth="1"/>
    <col min="22" max="22" width="14.7109375" style="7" customWidth="1"/>
    <col min="23" max="23" width="11.7109375" style="7" customWidth="1"/>
    <col min="24" max="28" width="11.5703125" style="194" customWidth="1"/>
    <col min="29" max="29" width="11.5703125" style="198" customWidth="1"/>
    <col min="30" max="30" width="4.85546875" style="194" bestFit="1" customWidth="1"/>
    <col min="31" max="31" width="9.7109375" style="194" customWidth="1"/>
    <col min="32" max="41" width="10.140625" style="194" customWidth="1"/>
    <col min="42" max="42" width="5.7109375" style="194" customWidth="1"/>
    <col min="43" max="43" width="9.7109375" style="194" customWidth="1"/>
    <col min="44" max="44" width="5.7109375" style="194" customWidth="1"/>
    <col min="45" max="49" width="9.7109375" style="194" customWidth="1"/>
    <col min="50" max="50" width="5.7109375" style="194" customWidth="1"/>
    <col min="51" max="51" width="9.7109375" style="194" customWidth="1"/>
    <col min="52" max="52" width="5.7109375" style="194" customWidth="1"/>
    <col min="53" max="57" width="9.7109375" style="194" customWidth="1"/>
    <col min="58" max="58" width="5.7109375" style="194" bestFit="1" customWidth="1"/>
    <col min="59" max="59" width="9.7109375" style="194" customWidth="1"/>
    <col min="60" max="60" width="5.7109375" style="194" customWidth="1"/>
    <col min="61" max="62" width="9.7109375" style="194" customWidth="1"/>
    <col min="63" max="63" width="6.28515625" style="194" customWidth="1"/>
    <col min="64" max="64" width="5.5703125" style="194" customWidth="1"/>
    <col min="65" max="66" width="5.42578125" style="194" customWidth="1"/>
    <col min="67" max="67" width="9.7109375" style="194" bestFit="1" customWidth="1"/>
    <col min="68" max="75" width="9.7109375" style="194" customWidth="1"/>
    <col min="76" max="76" width="13.42578125" style="198" bestFit="1" customWidth="1"/>
    <col min="77" max="77" width="13.7109375" style="194" customWidth="1" outlineLevel="1"/>
    <col min="78" max="78" width="12.42578125" style="194" customWidth="1" outlineLevel="1"/>
    <col min="79" max="81" width="10.7109375" style="194" customWidth="1" outlineLevel="1"/>
    <col min="82" max="82" width="11.85546875" style="194" customWidth="1" outlineLevel="1"/>
    <col min="83" max="88" width="9.7109375" style="194" customWidth="1" outlineLevel="1"/>
    <col min="89" max="89" width="11.7109375" style="194" bestFit="1" customWidth="1"/>
    <col min="90" max="90" width="11.42578125" style="194" bestFit="1" customWidth="1"/>
    <col min="91" max="91" width="11.7109375" style="194" bestFit="1" customWidth="1"/>
    <col min="92" max="92" width="11.42578125" style="194" customWidth="1"/>
    <col min="93" max="93" width="11.7109375" style="199" bestFit="1" customWidth="1"/>
    <col min="94" max="97" width="11.7109375" style="199" customWidth="1"/>
    <col min="98" max="100" width="11.7109375" style="194" bestFit="1" customWidth="1"/>
    <col min="101" max="101" width="12.5703125" style="194" bestFit="1" customWidth="1"/>
    <col min="102" max="102" width="11.85546875" style="194" customWidth="1"/>
    <col min="103" max="104" width="11.28515625" style="10" customWidth="1"/>
    <col min="105" max="108" width="14.42578125" style="200" customWidth="1"/>
    <col min="109" max="109" width="14.28515625" style="201" bestFit="1" customWidth="1"/>
    <col min="110" max="110" width="21.7109375" style="181" bestFit="1" customWidth="1"/>
    <col min="111" max="16384" width="9.140625" style="194"/>
  </cols>
  <sheetData>
    <row r="1" spans="1:118" s="5" customFormat="1">
      <c r="A1" s="1" t="s">
        <v>0</v>
      </c>
      <c r="B1" s="1"/>
      <c r="C1" s="2"/>
      <c r="D1" s="2"/>
      <c r="E1" s="2"/>
      <c r="F1" s="2"/>
      <c r="G1" s="2"/>
      <c r="H1" s="3"/>
      <c r="I1" s="4"/>
      <c r="K1" s="6"/>
      <c r="L1" s="6"/>
      <c r="M1" s="6"/>
      <c r="N1" s="6"/>
      <c r="O1" s="6"/>
      <c r="P1" s="6"/>
      <c r="Q1" s="6"/>
      <c r="R1" s="6"/>
      <c r="S1" s="6"/>
      <c r="T1" s="6"/>
      <c r="U1" s="7"/>
      <c r="V1" s="7"/>
      <c r="W1" s="7"/>
      <c r="AC1" s="8"/>
      <c r="BX1" s="8"/>
      <c r="CO1" s="9"/>
      <c r="CP1" s="9"/>
      <c r="CQ1" s="9"/>
      <c r="CR1" s="9"/>
      <c r="CS1" s="9"/>
      <c r="CX1" s="10"/>
      <c r="CY1" s="11"/>
      <c r="CZ1" s="11"/>
      <c r="DA1" s="12"/>
      <c r="DB1" s="12"/>
      <c r="DC1" s="12"/>
      <c r="DD1" s="12"/>
      <c r="DE1" s="14"/>
    </row>
    <row r="2" spans="1:118" s="5" customFormat="1">
      <c r="A2" s="15" t="s">
        <v>1</v>
      </c>
      <c r="B2" s="15"/>
      <c r="C2" s="2"/>
      <c r="D2" s="2"/>
      <c r="E2" s="2"/>
      <c r="F2" s="2"/>
      <c r="G2" s="2"/>
      <c r="H2" s="3"/>
      <c r="I2" s="4"/>
      <c r="K2" s="6"/>
      <c r="L2" s="6"/>
      <c r="M2" s="6"/>
      <c r="N2" s="6"/>
      <c r="O2" s="6"/>
      <c r="P2" s="6"/>
      <c r="Q2" s="6"/>
      <c r="R2" s="6"/>
      <c r="S2" s="6"/>
      <c r="T2" s="6"/>
      <c r="U2" s="7"/>
      <c r="V2" s="7"/>
      <c r="W2" s="7"/>
      <c r="AC2" s="8"/>
      <c r="BX2" s="8"/>
      <c r="CO2" s="9"/>
      <c r="CP2" s="9"/>
      <c r="CQ2" s="9"/>
      <c r="CR2" s="9"/>
      <c r="CS2" s="9"/>
      <c r="CX2" s="10"/>
      <c r="CY2" s="11"/>
      <c r="CZ2" s="11"/>
      <c r="DA2" s="12"/>
      <c r="DB2" s="12"/>
      <c r="DC2" s="12"/>
      <c r="DD2" s="12"/>
      <c r="DE2" s="14"/>
    </row>
    <row r="3" spans="1:118" s="5" customFormat="1">
      <c r="A3" s="1" t="s">
        <v>2</v>
      </c>
      <c r="B3" s="1"/>
      <c r="C3" s="2"/>
      <c r="D3" s="2"/>
      <c r="E3" s="2"/>
      <c r="F3" s="2"/>
      <c r="G3" s="2"/>
      <c r="H3" s="3"/>
      <c r="I3" s="4"/>
      <c r="K3" s="6"/>
      <c r="L3" s="6"/>
      <c r="M3" s="6"/>
      <c r="N3" s="6"/>
      <c r="O3" s="6"/>
      <c r="P3" s="6"/>
      <c r="Q3" s="6"/>
      <c r="R3" s="6"/>
      <c r="S3" s="6"/>
      <c r="T3" s="6"/>
      <c r="U3" s="7"/>
      <c r="V3" s="7"/>
      <c r="W3" s="7"/>
      <c r="AC3" s="8"/>
      <c r="BX3" s="8"/>
      <c r="CA3" s="16"/>
      <c r="CO3" s="9"/>
      <c r="CP3" s="9"/>
      <c r="CQ3" s="9"/>
      <c r="CR3" s="9"/>
      <c r="CS3" s="9"/>
      <c r="CX3" s="10"/>
      <c r="CY3" s="11"/>
      <c r="CZ3" s="11"/>
      <c r="DA3" s="12"/>
      <c r="DB3" s="12"/>
      <c r="DC3" s="12"/>
      <c r="DD3" s="12"/>
      <c r="DE3" s="14"/>
    </row>
    <row r="4" spans="1:118" s="5" customFormat="1">
      <c r="A4" s="1"/>
      <c r="B4" s="1"/>
      <c r="C4" s="2"/>
      <c r="D4" s="2"/>
      <c r="E4" s="2"/>
      <c r="F4" s="1"/>
      <c r="G4" s="1"/>
      <c r="H4" s="2"/>
      <c r="I4" s="1"/>
      <c r="J4" s="1"/>
      <c r="K4" s="1"/>
      <c r="L4" s="2"/>
      <c r="M4" s="2"/>
      <c r="N4" s="2"/>
      <c r="O4" s="1"/>
      <c r="P4" s="2"/>
      <c r="Q4" s="2"/>
      <c r="R4" s="2"/>
      <c r="S4" s="2"/>
      <c r="T4" s="1"/>
      <c r="U4" s="2"/>
      <c r="V4" s="2"/>
      <c r="W4" s="2"/>
      <c r="X4" s="1"/>
      <c r="Y4" s="1"/>
      <c r="Z4" s="2"/>
      <c r="AA4" s="2"/>
      <c r="AB4" s="2"/>
      <c r="AC4" s="2"/>
      <c r="AD4" s="2"/>
      <c r="AE4" s="1"/>
      <c r="AF4" s="2"/>
      <c r="AG4" s="2"/>
      <c r="AH4" s="2"/>
      <c r="AI4" s="2"/>
      <c r="AJ4" s="2"/>
      <c r="AK4" s="2"/>
      <c r="AL4" s="2"/>
      <c r="AM4" s="2"/>
      <c r="AN4" s="2"/>
      <c r="AO4" s="2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2"/>
      <c r="BL4" s="1"/>
      <c r="BM4" s="2"/>
      <c r="BN4" s="1"/>
      <c r="BO4" s="2"/>
      <c r="BP4" s="2"/>
      <c r="BQ4" s="2"/>
      <c r="BR4" s="2"/>
      <c r="BS4" s="2"/>
      <c r="BT4" s="2"/>
      <c r="BU4" s="2"/>
      <c r="BV4" s="2"/>
      <c r="BW4" s="2"/>
      <c r="BX4" s="1"/>
      <c r="BY4" s="2"/>
      <c r="BZ4" s="1"/>
      <c r="CA4" s="2"/>
      <c r="CB4" s="1"/>
      <c r="CC4" s="2"/>
      <c r="CD4" s="1"/>
      <c r="CE4" s="2"/>
      <c r="CF4" s="1"/>
      <c r="CG4" s="1"/>
      <c r="CH4" s="1"/>
      <c r="CI4" s="2"/>
      <c r="CJ4" s="1"/>
      <c r="CK4" s="2"/>
      <c r="CL4" s="2"/>
      <c r="CM4" s="1"/>
      <c r="CN4" s="2"/>
      <c r="CO4" s="1"/>
      <c r="CP4" s="1"/>
      <c r="CQ4" s="1"/>
      <c r="CR4" s="2"/>
      <c r="CS4" s="1"/>
      <c r="CT4" s="2"/>
      <c r="CU4" s="1"/>
      <c r="CV4" s="2"/>
      <c r="CW4" s="1"/>
      <c r="CX4" s="2"/>
      <c r="CY4" s="1"/>
      <c r="CZ4" s="1"/>
      <c r="DA4" s="2"/>
      <c r="DB4" s="2"/>
      <c r="DC4" s="2"/>
      <c r="DD4" s="2"/>
      <c r="DE4" s="2"/>
      <c r="DF4" s="1"/>
    </row>
    <row r="5" spans="1:118" s="5" customFormat="1" ht="25.15" customHeight="1">
      <c r="A5" s="253" t="s">
        <v>241</v>
      </c>
      <c r="B5" s="254"/>
      <c r="C5" s="254"/>
      <c r="D5" s="254"/>
      <c r="E5" s="254"/>
      <c r="F5" s="254"/>
      <c r="G5" s="254"/>
      <c r="H5" s="254"/>
      <c r="I5" s="254"/>
      <c r="J5" s="254"/>
      <c r="K5" s="254"/>
      <c r="L5" s="254"/>
      <c r="M5" s="254"/>
      <c r="N5" s="254"/>
      <c r="O5" s="254"/>
      <c r="P5" s="254"/>
      <c r="Q5" s="254"/>
      <c r="R5" s="254"/>
      <c r="S5" s="254"/>
      <c r="T5" s="254"/>
      <c r="U5" s="254"/>
      <c r="V5" s="254"/>
      <c r="W5" s="254"/>
      <c r="X5" s="254"/>
      <c r="Y5" s="254"/>
      <c r="Z5" s="254"/>
      <c r="AA5" s="254"/>
      <c r="AB5" s="254"/>
      <c r="AC5" s="254"/>
      <c r="AD5" s="254"/>
      <c r="AE5" s="254"/>
      <c r="AF5" s="254"/>
      <c r="AG5" s="254"/>
      <c r="AH5" s="254"/>
      <c r="AI5" s="254"/>
      <c r="AJ5" s="254"/>
      <c r="AK5" s="254"/>
      <c r="AL5" s="254"/>
      <c r="AM5" s="254"/>
      <c r="AN5" s="254"/>
      <c r="AO5" s="254"/>
      <c r="AP5" s="254"/>
      <c r="AQ5" s="254"/>
      <c r="AR5" s="254"/>
      <c r="AS5" s="254"/>
      <c r="AT5" s="254"/>
      <c r="AU5" s="254"/>
      <c r="AV5" s="254"/>
      <c r="AW5" s="254"/>
      <c r="AX5" s="254"/>
      <c r="AY5" s="254"/>
      <c r="AZ5" s="254"/>
      <c r="BA5" s="254"/>
      <c r="BB5" s="254"/>
      <c r="BC5" s="254"/>
      <c r="BD5" s="254"/>
      <c r="BE5" s="254"/>
      <c r="BF5" s="254"/>
      <c r="BG5" s="254"/>
      <c r="BH5" s="254"/>
      <c r="BI5" s="254"/>
      <c r="BJ5" s="254"/>
      <c r="BK5" s="254"/>
      <c r="BL5" s="254"/>
      <c r="BM5" s="254"/>
      <c r="BN5" s="254"/>
      <c r="BO5" s="254"/>
      <c r="BP5" s="254"/>
      <c r="BQ5" s="254"/>
      <c r="BR5" s="254"/>
      <c r="BS5" s="254"/>
      <c r="BT5" s="254"/>
      <c r="BU5" s="254"/>
      <c r="BV5" s="254"/>
      <c r="BW5" s="254"/>
      <c r="BX5" s="254"/>
      <c r="BY5" s="254"/>
      <c r="BZ5" s="254"/>
      <c r="CA5" s="254"/>
      <c r="CB5" s="254"/>
      <c r="CC5" s="254"/>
      <c r="CD5" s="254"/>
      <c r="CE5" s="254"/>
      <c r="CF5" s="254"/>
      <c r="CG5" s="254"/>
      <c r="CH5" s="254"/>
      <c r="CI5" s="254"/>
      <c r="CJ5" s="254"/>
      <c r="CK5" s="254"/>
      <c r="CL5" s="254"/>
      <c r="CM5" s="254"/>
      <c r="CN5" s="254"/>
      <c r="CO5" s="254"/>
      <c r="CP5" s="254"/>
      <c r="CQ5" s="254"/>
      <c r="CR5" s="254"/>
      <c r="CS5" s="254"/>
      <c r="CT5" s="254"/>
      <c r="CU5" s="254"/>
      <c r="CV5" s="254"/>
      <c r="CW5" s="254"/>
      <c r="CX5" s="254"/>
      <c r="CY5" s="254"/>
      <c r="CZ5" s="254"/>
      <c r="DA5" s="254"/>
      <c r="DB5" s="254"/>
      <c r="DC5" s="254"/>
      <c r="DD5" s="254"/>
      <c r="DE5" s="254"/>
      <c r="DF5" s="254"/>
    </row>
    <row r="6" spans="1:118" s="5" customFormat="1" ht="12.75" thickBot="1">
      <c r="A6" s="9" t="s">
        <v>110</v>
      </c>
      <c r="B6" s="9"/>
      <c r="C6" s="17"/>
      <c r="D6" s="17"/>
      <c r="E6" s="17"/>
      <c r="F6" s="17"/>
      <c r="G6" s="17"/>
      <c r="H6" s="18">
        <v>26</v>
      </c>
      <c r="I6" s="19"/>
      <c r="J6" s="9"/>
      <c r="K6" s="20"/>
      <c r="L6" s="20"/>
      <c r="M6" s="20"/>
      <c r="N6" s="20"/>
      <c r="O6" s="20"/>
      <c r="P6" s="20"/>
      <c r="Q6" s="20"/>
      <c r="R6" s="20"/>
      <c r="S6" s="20"/>
      <c r="T6" s="20"/>
      <c r="U6" s="21"/>
      <c r="V6" s="21"/>
      <c r="W6" s="21"/>
      <c r="X6" s="19" t="s">
        <v>93</v>
      </c>
      <c r="Y6" s="19"/>
      <c r="Z6" s="22"/>
      <c r="AA6" s="22"/>
      <c r="AB6" s="23" t="s">
        <v>88</v>
      </c>
      <c r="AC6" s="24"/>
      <c r="AD6" s="22"/>
      <c r="AE6" s="22"/>
      <c r="AF6" s="9"/>
      <c r="AG6" s="9"/>
      <c r="AH6" s="9"/>
      <c r="AI6" s="9"/>
      <c r="AJ6" s="9"/>
      <c r="AK6" s="9"/>
      <c r="AL6" s="9"/>
      <c r="AM6" s="9"/>
      <c r="AN6" s="9"/>
      <c r="AO6" s="9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11" t="s">
        <v>111</v>
      </c>
      <c r="BY6" s="25">
        <v>1490000</v>
      </c>
      <c r="BZ6" s="26"/>
      <c r="CA6" s="27" t="s">
        <v>112</v>
      </c>
      <c r="CB6" s="28"/>
      <c r="CC6" s="29"/>
      <c r="CD6" s="30">
        <v>4420000</v>
      </c>
      <c r="CE6" s="25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25"/>
      <c r="CZ6" s="25"/>
      <c r="DA6" s="31" t="s">
        <v>95</v>
      </c>
      <c r="DB6" s="31"/>
      <c r="DC6" s="31"/>
      <c r="DD6" s="31"/>
      <c r="DE6" s="14"/>
      <c r="DF6" s="13"/>
      <c r="DG6" s="13"/>
    </row>
    <row r="7" spans="1:118" s="4" customFormat="1" ht="36" customHeight="1">
      <c r="A7" s="267" t="s">
        <v>3</v>
      </c>
      <c r="B7" s="267" t="s">
        <v>4</v>
      </c>
      <c r="C7" s="267" t="s">
        <v>5</v>
      </c>
      <c r="D7" s="269" t="s">
        <v>124</v>
      </c>
      <c r="E7" s="270"/>
      <c r="F7" s="229" t="s">
        <v>6</v>
      </c>
      <c r="G7" s="229" t="s">
        <v>127</v>
      </c>
      <c r="H7" s="229" t="s">
        <v>147</v>
      </c>
      <c r="I7" s="229" t="s">
        <v>106</v>
      </c>
      <c r="J7" s="229" t="s">
        <v>148</v>
      </c>
      <c r="K7" s="231" t="s">
        <v>7</v>
      </c>
      <c r="L7" s="231" t="s">
        <v>8</v>
      </c>
      <c r="M7" s="231" t="s">
        <v>132</v>
      </c>
      <c r="N7" s="231" t="s">
        <v>133</v>
      </c>
      <c r="O7" s="231" t="s">
        <v>9</v>
      </c>
      <c r="P7" s="231" t="s">
        <v>10</v>
      </c>
      <c r="Q7" s="231" t="s">
        <v>149</v>
      </c>
      <c r="R7" s="231" t="s">
        <v>150</v>
      </c>
      <c r="S7" s="231" t="s">
        <v>151</v>
      </c>
      <c r="T7" s="231" t="s">
        <v>11</v>
      </c>
      <c r="U7" s="248" t="s">
        <v>12</v>
      </c>
      <c r="V7" s="248" t="s">
        <v>254</v>
      </c>
      <c r="W7" s="233" t="s">
        <v>135</v>
      </c>
      <c r="X7" s="234"/>
      <c r="Y7" s="244" t="s">
        <v>152</v>
      </c>
      <c r="Z7" s="245"/>
      <c r="AA7" s="244" t="s">
        <v>153</v>
      </c>
      <c r="AB7" s="245"/>
      <c r="AC7" s="244" t="s">
        <v>138</v>
      </c>
      <c r="AD7" s="237" t="s">
        <v>199</v>
      </c>
      <c r="AE7" s="238"/>
      <c r="AF7" s="237" t="s">
        <v>109</v>
      </c>
      <c r="AG7" s="238"/>
      <c r="AH7" s="237" t="s">
        <v>142</v>
      </c>
      <c r="AI7" s="274"/>
      <c r="AJ7" s="238"/>
      <c r="AK7" s="237" t="s">
        <v>141</v>
      </c>
      <c r="AL7" s="238"/>
      <c r="AM7" s="237" t="s">
        <v>143</v>
      </c>
      <c r="AN7" s="238"/>
      <c r="AO7" s="213" t="s">
        <v>145</v>
      </c>
      <c r="AP7" s="241" t="s">
        <v>154</v>
      </c>
      <c r="AQ7" s="242"/>
      <c r="AR7" s="242"/>
      <c r="AS7" s="242"/>
      <c r="AT7" s="242"/>
      <c r="AU7" s="242"/>
      <c r="AV7" s="242"/>
      <c r="AW7" s="243"/>
      <c r="AX7" s="241" t="s">
        <v>163</v>
      </c>
      <c r="AY7" s="242"/>
      <c r="AZ7" s="242"/>
      <c r="BA7" s="242"/>
      <c r="BB7" s="242"/>
      <c r="BC7" s="242"/>
      <c r="BD7" s="242"/>
      <c r="BE7" s="243"/>
      <c r="BF7" s="258" t="s">
        <v>167</v>
      </c>
      <c r="BG7" s="260"/>
      <c r="BH7" s="260"/>
      <c r="BI7" s="260"/>
      <c r="BJ7" s="260"/>
      <c r="BK7" s="260"/>
      <c r="BL7" s="260"/>
      <c r="BM7" s="260"/>
      <c r="BN7" s="260"/>
      <c r="BO7" s="260"/>
      <c r="BP7" s="260"/>
      <c r="BQ7" s="260"/>
      <c r="BR7" s="260"/>
      <c r="BS7" s="260"/>
      <c r="BT7" s="260"/>
      <c r="BU7" s="260"/>
      <c r="BV7" s="260"/>
      <c r="BW7" s="259"/>
      <c r="BX7" s="278" t="s">
        <v>170</v>
      </c>
      <c r="BY7" s="255" t="s">
        <v>113</v>
      </c>
      <c r="BZ7" s="258" t="s">
        <v>171</v>
      </c>
      <c r="CA7" s="259"/>
      <c r="CB7" s="258" t="s">
        <v>173</v>
      </c>
      <c r="CC7" s="259"/>
      <c r="CD7" s="255" t="s">
        <v>114</v>
      </c>
      <c r="CE7" s="258" t="s">
        <v>175</v>
      </c>
      <c r="CF7" s="259"/>
      <c r="CG7" s="258" t="s">
        <v>177</v>
      </c>
      <c r="CH7" s="259"/>
      <c r="CI7" s="258" t="s">
        <v>179</v>
      </c>
      <c r="CJ7" s="259"/>
      <c r="CK7" s="226" t="s">
        <v>115</v>
      </c>
      <c r="CL7" s="227"/>
      <c r="CM7" s="227"/>
      <c r="CN7" s="227"/>
      <c r="CO7" s="228"/>
      <c r="CP7" s="286" t="s">
        <v>183</v>
      </c>
      <c r="CQ7" s="286" t="s">
        <v>184</v>
      </c>
      <c r="CR7" s="291" t="s">
        <v>13</v>
      </c>
      <c r="CS7" s="292"/>
      <c r="CT7" s="258" t="s">
        <v>186</v>
      </c>
      <c r="CU7" s="260"/>
      <c r="CV7" s="260"/>
      <c r="CW7" s="259"/>
      <c r="CX7" s="261" t="s">
        <v>116</v>
      </c>
      <c r="CY7" s="264" t="s">
        <v>82</v>
      </c>
      <c r="CZ7" s="295" t="s">
        <v>188</v>
      </c>
      <c r="DA7" s="280" t="s">
        <v>192</v>
      </c>
      <c r="DB7" s="281"/>
      <c r="DC7" s="281"/>
      <c r="DD7" s="282"/>
      <c r="DE7" s="226" t="s">
        <v>14</v>
      </c>
      <c r="DF7" s="228"/>
    </row>
    <row r="8" spans="1:118" s="4" customFormat="1">
      <c r="A8" s="268"/>
      <c r="B8" s="268"/>
      <c r="C8" s="268"/>
      <c r="D8" s="271"/>
      <c r="E8" s="272"/>
      <c r="F8" s="230"/>
      <c r="G8" s="230"/>
      <c r="H8" s="230"/>
      <c r="I8" s="230"/>
      <c r="J8" s="273"/>
      <c r="K8" s="232"/>
      <c r="L8" s="232"/>
      <c r="M8" s="232"/>
      <c r="N8" s="232"/>
      <c r="O8" s="232"/>
      <c r="P8" s="232"/>
      <c r="Q8" s="232"/>
      <c r="R8" s="232"/>
      <c r="S8" s="232"/>
      <c r="T8" s="232"/>
      <c r="U8" s="249"/>
      <c r="V8" s="249"/>
      <c r="W8" s="235"/>
      <c r="X8" s="236"/>
      <c r="Y8" s="246"/>
      <c r="Z8" s="247"/>
      <c r="AA8" s="246"/>
      <c r="AB8" s="247"/>
      <c r="AC8" s="246"/>
      <c r="AD8" s="239"/>
      <c r="AE8" s="240"/>
      <c r="AF8" s="239"/>
      <c r="AG8" s="240"/>
      <c r="AH8" s="239"/>
      <c r="AI8" s="275"/>
      <c r="AJ8" s="240"/>
      <c r="AK8" s="239"/>
      <c r="AL8" s="240"/>
      <c r="AM8" s="239"/>
      <c r="AN8" s="240"/>
      <c r="AO8" s="214"/>
      <c r="AP8" s="241" t="s">
        <v>155</v>
      </c>
      <c r="AQ8" s="242"/>
      <c r="AR8" s="243"/>
      <c r="AS8" s="241" t="s">
        <v>156</v>
      </c>
      <c r="AT8" s="242"/>
      <c r="AU8" s="243"/>
      <c r="AV8" s="276" t="s">
        <v>157</v>
      </c>
      <c r="AW8" s="277"/>
      <c r="AX8" s="241" t="s">
        <v>155</v>
      </c>
      <c r="AY8" s="242"/>
      <c r="AZ8" s="243"/>
      <c r="BA8" s="241" t="s">
        <v>156</v>
      </c>
      <c r="BB8" s="242"/>
      <c r="BC8" s="243"/>
      <c r="BD8" s="276" t="s">
        <v>157</v>
      </c>
      <c r="BE8" s="277"/>
      <c r="BF8" s="258" t="s">
        <v>155</v>
      </c>
      <c r="BG8" s="260"/>
      <c r="BH8" s="260"/>
      <c r="BI8" s="260"/>
      <c r="BJ8" s="260"/>
      <c r="BK8" s="260"/>
      <c r="BL8" s="260"/>
      <c r="BM8" s="259"/>
      <c r="BN8" s="258" t="s">
        <v>156</v>
      </c>
      <c r="BO8" s="260"/>
      <c r="BP8" s="260"/>
      <c r="BQ8" s="260"/>
      <c r="BR8" s="260"/>
      <c r="BS8" s="260"/>
      <c r="BT8" s="260"/>
      <c r="BU8" s="259"/>
      <c r="BV8" s="276" t="s">
        <v>168</v>
      </c>
      <c r="BW8" s="277"/>
      <c r="BX8" s="279"/>
      <c r="BY8" s="256"/>
      <c r="BZ8" s="297" t="s">
        <v>172</v>
      </c>
      <c r="CA8" s="298"/>
      <c r="CB8" s="297" t="s">
        <v>174</v>
      </c>
      <c r="CC8" s="298"/>
      <c r="CD8" s="256"/>
      <c r="CE8" s="297" t="s">
        <v>176</v>
      </c>
      <c r="CF8" s="298"/>
      <c r="CG8" s="297" t="s">
        <v>178</v>
      </c>
      <c r="CH8" s="298"/>
      <c r="CI8" s="297" t="s">
        <v>180</v>
      </c>
      <c r="CJ8" s="298"/>
      <c r="CK8" s="210"/>
      <c r="CL8" s="211"/>
      <c r="CM8" s="211"/>
      <c r="CN8" s="211"/>
      <c r="CO8" s="212"/>
      <c r="CP8" s="287"/>
      <c r="CQ8" s="287"/>
      <c r="CR8" s="293"/>
      <c r="CS8" s="294"/>
      <c r="CT8" s="288" t="s">
        <v>187</v>
      </c>
      <c r="CU8" s="289"/>
      <c r="CV8" s="289"/>
      <c r="CW8" s="290"/>
      <c r="CX8" s="262"/>
      <c r="CY8" s="265"/>
      <c r="CZ8" s="296"/>
      <c r="DA8" s="283"/>
      <c r="DB8" s="284"/>
      <c r="DC8" s="284"/>
      <c r="DD8" s="285"/>
      <c r="DE8" s="210"/>
      <c r="DF8" s="212"/>
    </row>
    <row r="9" spans="1:118" s="4" customFormat="1" ht="81" customHeight="1">
      <c r="A9" s="32" t="s">
        <v>15</v>
      </c>
      <c r="B9" s="33" t="s">
        <v>72</v>
      </c>
      <c r="C9" s="34" t="s">
        <v>73</v>
      </c>
      <c r="D9" s="203" t="s">
        <v>125</v>
      </c>
      <c r="E9" s="203" t="s">
        <v>126</v>
      </c>
      <c r="F9" s="34" t="s">
        <v>74</v>
      </c>
      <c r="G9" s="204" t="s">
        <v>128</v>
      </c>
      <c r="H9" s="34" t="s">
        <v>117</v>
      </c>
      <c r="I9" s="34" t="s">
        <v>105</v>
      </c>
      <c r="J9" s="230"/>
      <c r="K9" s="35" t="s">
        <v>75</v>
      </c>
      <c r="L9" s="35" t="s">
        <v>76</v>
      </c>
      <c r="M9" s="35" t="s">
        <v>89</v>
      </c>
      <c r="N9" s="35" t="s">
        <v>134</v>
      </c>
      <c r="O9" s="35" t="s">
        <v>77</v>
      </c>
      <c r="P9" s="35" t="s">
        <v>78</v>
      </c>
      <c r="Q9" s="223" t="s">
        <v>194</v>
      </c>
      <c r="R9" s="223" t="s">
        <v>195</v>
      </c>
      <c r="S9" s="223" t="s">
        <v>196</v>
      </c>
      <c r="T9" s="35" t="s">
        <v>99</v>
      </c>
      <c r="U9" s="36" t="s">
        <v>79</v>
      </c>
      <c r="V9" s="36" t="s">
        <v>255</v>
      </c>
      <c r="W9" s="37" t="s">
        <v>136</v>
      </c>
      <c r="X9" s="37" t="s">
        <v>137</v>
      </c>
      <c r="Y9" s="37" t="s">
        <v>136</v>
      </c>
      <c r="Z9" s="37" t="s">
        <v>137</v>
      </c>
      <c r="AA9" s="37" t="s">
        <v>136</v>
      </c>
      <c r="AB9" s="37" t="s">
        <v>137</v>
      </c>
      <c r="AC9" s="37" t="s">
        <v>107</v>
      </c>
      <c r="AD9" s="38">
        <v>0.3</v>
      </c>
      <c r="AE9" s="38" t="s">
        <v>16</v>
      </c>
      <c r="AF9" s="205" t="s">
        <v>139</v>
      </c>
      <c r="AG9" s="207" t="s">
        <v>140</v>
      </c>
      <c r="AH9" s="208" t="s">
        <v>136</v>
      </c>
      <c r="AI9" s="208" t="s">
        <v>137</v>
      </c>
      <c r="AJ9" s="209" t="s">
        <v>140</v>
      </c>
      <c r="AK9" s="205" t="s">
        <v>139</v>
      </c>
      <c r="AL9" s="207" t="s">
        <v>140</v>
      </c>
      <c r="AM9" s="205" t="s">
        <v>139</v>
      </c>
      <c r="AN9" s="207" t="s">
        <v>144</v>
      </c>
      <c r="AO9" s="207" t="s">
        <v>146</v>
      </c>
      <c r="AP9" s="215" t="s">
        <v>158</v>
      </c>
      <c r="AQ9" s="215" t="s">
        <v>159</v>
      </c>
      <c r="AR9" s="215" t="s">
        <v>160</v>
      </c>
      <c r="AS9" s="215" t="s">
        <v>158</v>
      </c>
      <c r="AT9" s="215" t="s">
        <v>159</v>
      </c>
      <c r="AU9" s="215" t="s">
        <v>160</v>
      </c>
      <c r="AV9" s="216" t="s">
        <v>161</v>
      </c>
      <c r="AW9" s="216" t="s">
        <v>162</v>
      </c>
      <c r="AX9" s="215" t="s">
        <v>164</v>
      </c>
      <c r="AY9" s="215" t="s">
        <v>165</v>
      </c>
      <c r="AZ9" s="215" t="s">
        <v>160</v>
      </c>
      <c r="BA9" s="215" t="s">
        <v>164</v>
      </c>
      <c r="BB9" s="215" t="s">
        <v>165</v>
      </c>
      <c r="BC9" s="215" t="s">
        <v>160</v>
      </c>
      <c r="BD9" s="216" t="s">
        <v>161</v>
      </c>
      <c r="BE9" s="216" t="s">
        <v>162</v>
      </c>
      <c r="BF9" s="217">
        <v>1.5</v>
      </c>
      <c r="BG9" s="217">
        <v>2</v>
      </c>
      <c r="BH9" s="217">
        <v>2.1</v>
      </c>
      <c r="BI9" s="218">
        <v>2.7</v>
      </c>
      <c r="BJ9" s="218">
        <v>3</v>
      </c>
      <c r="BK9" s="218">
        <v>3.9</v>
      </c>
      <c r="BL9" s="215" t="s">
        <v>169</v>
      </c>
      <c r="BM9" s="215" t="s">
        <v>160</v>
      </c>
      <c r="BN9" s="217">
        <v>1.5</v>
      </c>
      <c r="BO9" s="217">
        <v>2</v>
      </c>
      <c r="BP9" s="217">
        <v>2.1</v>
      </c>
      <c r="BQ9" s="218">
        <v>2.7</v>
      </c>
      <c r="BR9" s="218">
        <v>3</v>
      </c>
      <c r="BS9" s="218">
        <v>3.9</v>
      </c>
      <c r="BT9" s="215" t="s">
        <v>169</v>
      </c>
      <c r="BU9" s="215" t="s">
        <v>160</v>
      </c>
      <c r="BV9" s="216" t="s">
        <v>166</v>
      </c>
      <c r="BW9" s="216" t="s">
        <v>146</v>
      </c>
      <c r="BX9" s="216" t="s">
        <v>98</v>
      </c>
      <c r="BY9" s="257"/>
      <c r="BZ9" s="40">
        <v>0.17499999999999999</v>
      </c>
      <c r="CA9" s="41">
        <v>0.08</v>
      </c>
      <c r="CB9" s="41">
        <v>0.03</v>
      </c>
      <c r="CC9" s="40">
        <v>1.4999999999999999E-2</v>
      </c>
      <c r="CD9" s="257"/>
      <c r="CE9" s="41">
        <v>0.01</v>
      </c>
      <c r="CF9" s="41">
        <v>0.01</v>
      </c>
      <c r="CG9" s="39" t="s">
        <v>118</v>
      </c>
      <c r="CH9" s="39" t="s">
        <v>119</v>
      </c>
      <c r="CI9" s="41">
        <v>0.02</v>
      </c>
      <c r="CJ9" s="41">
        <v>0.01</v>
      </c>
      <c r="CK9" s="42" t="s">
        <v>350</v>
      </c>
      <c r="CL9" s="43" t="s">
        <v>80</v>
      </c>
      <c r="CM9" s="219" t="s">
        <v>181</v>
      </c>
      <c r="CN9" s="219" t="s">
        <v>182</v>
      </c>
      <c r="CO9" s="39" t="s">
        <v>81</v>
      </c>
      <c r="CP9" s="39">
        <v>0.15</v>
      </c>
      <c r="CQ9" s="39" t="s">
        <v>185</v>
      </c>
      <c r="CR9" s="43" t="s">
        <v>50</v>
      </c>
      <c r="CS9" s="43" t="s">
        <v>70</v>
      </c>
      <c r="CT9" s="44" t="s">
        <v>120</v>
      </c>
      <c r="CU9" s="44" t="s">
        <v>121</v>
      </c>
      <c r="CV9" s="44" t="s">
        <v>122</v>
      </c>
      <c r="CW9" s="44" t="s">
        <v>123</v>
      </c>
      <c r="CX9" s="263"/>
      <c r="CY9" s="266"/>
      <c r="CZ9" s="220" t="s">
        <v>189</v>
      </c>
      <c r="DA9" s="221" t="s">
        <v>17</v>
      </c>
      <c r="DB9" s="205" t="s">
        <v>190</v>
      </c>
      <c r="DC9" s="222" t="s">
        <v>191</v>
      </c>
      <c r="DD9" s="221" t="s">
        <v>18</v>
      </c>
      <c r="DE9" s="45" t="s">
        <v>19</v>
      </c>
      <c r="DF9" s="34" t="s">
        <v>20</v>
      </c>
    </row>
    <row r="10" spans="1:118" s="9" customFormat="1" ht="12" customHeight="1">
      <c r="A10" s="46"/>
      <c r="B10" s="47">
        <v>1</v>
      </c>
      <c r="C10" s="46">
        <v>2</v>
      </c>
      <c r="D10" s="47">
        <v>3</v>
      </c>
      <c r="E10" s="46">
        <v>4</v>
      </c>
      <c r="F10" s="47">
        <v>5</v>
      </c>
      <c r="G10" s="46">
        <v>6</v>
      </c>
      <c r="H10" s="47">
        <v>7</v>
      </c>
      <c r="I10" s="46">
        <v>8</v>
      </c>
      <c r="J10" s="46">
        <v>10</v>
      </c>
      <c r="K10" s="47">
        <v>11</v>
      </c>
      <c r="L10" s="46">
        <v>12</v>
      </c>
      <c r="M10" s="47">
        <v>13</v>
      </c>
      <c r="N10" s="46">
        <v>14</v>
      </c>
      <c r="O10" s="47">
        <v>15</v>
      </c>
      <c r="P10" s="46">
        <v>16</v>
      </c>
      <c r="Q10" s="47">
        <v>17</v>
      </c>
      <c r="R10" s="46">
        <v>18</v>
      </c>
      <c r="S10" s="47">
        <v>19</v>
      </c>
      <c r="T10" s="46">
        <v>20</v>
      </c>
      <c r="U10" s="46">
        <v>21</v>
      </c>
      <c r="V10" s="46"/>
      <c r="W10" s="46">
        <v>22</v>
      </c>
      <c r="X10" s="46">
        <v>23</v>
      </c>
      <c r="Y10" s="46">
        <v>24</v>
      </c>
      <c r="Z10" s="46">
        <v>25</v>
      </c>
      <c r="AA10" s="46">
        <v>26</v>
      </c>
      <c r="AB10" s="46">
        <v>27</v>
      </c>
      <c r="AC10" s="46">
        <v>28</v>
      </c>
      <c r="AD10" s="46">
        <v>29</v>
      </c>
      <c r="AE10" s="46">
        <v>30</v>
      </c>
      <c r="AF10" s="46">
        <v>31</v>
      </c>
      <c r="AG10" s="46">
        <v>32</v>
      </c>
      <c r="AH10" s="46">
        <v>33</v>
      </c>
      <c r="AI10" s="46">
        <v>34</v>
      </c>
      <c r="AJ10" s="46">
        <v>35</v>
      </c>
      <c r="AK10" s="46">
        <v>36</v>
      </c>
      <c r="AL10" s="46">
        <v>37</v>
      </c>
      <c r="AM10" s="46">
        <v>38</v>
      </c>
      <c r="AN10" s="46">
        <v>39</v>
      </c>
      <c r="AO10" s="46">
        <v>40</v>
      </c>
      <c r="AP10" s="46">
        <v>41</v>
      </c>
      <c r="AQ10" s="46">
        <v>42</v>
      </c>
      <c r="AR10" s="46">
        <v>43</v>
      </c>
      <c r="AS10" s="46">
        <v>44</v>
      </c>
      <c r="AT10" s="46">
        <v>45</v>
      </c>
      <c r="AU10" s="46">
        <v>46</v>
      </c>
      <c r="AV10" s="46">
        <v>47</v>
      </c>
      <c r="AW10" s="46">
        <v>48</v>
      </c>
      <c r="AX10" s="46">
        <v>49</v>
      </c>
      <c r="AY10" s="46">
        <v>50</v>
      </c>
      <c r="AZ10" s="46">
        <v>51</v>
      </c>
      <c r="BA10" s="46">
        <v>52</v>
      </c>
      <c r="BB10" s="46">
        <v>53</v>
      </c>
      <c r="BC10" s="46">
        <v>54</v>
      </c>
      <c r="BD10" s="46">
        <v>55</v>
      </c>
      <c r="BE10" s="46">
        <v>56</v>
      </c>
      <c r="BF10" s="46">
        <v>57</v>
      </c>
      <c r="BG10" s="46">
        <v>58</v>
      </c>
      <c r="BH10" s="46">
        <v>59</v>
      </c>
      <c r="BI10" s="46">
        <v>60</v>
      </c>
      <c r="BJ10" s="46">
        <v>61</v>
      </c>
      <c r="BK10" s="46">
        <v>62</v>
      </c>
      <c r="BL10" s="46">
        <v>63</v>
      </c>
      <c r="BM10" s="46">
        <v>64</v>
      </c>
      <c r="BN10" s="46">
        <v>65</v>
      </c>
      <c r="BO10" s="46">
        <v>66</v>
      </c>
      <c r="BP10" s="46">
        <v>67</v>
      </c>
      <c r="BQ10" s="46">
        <v>68</v>
      </c>
      <c r="BR10" s="46">
        <v>69</v>
      </c>
      <c r="BS10" s="46">
        <v>70</v>
      </c>
      <c r="BT10" s="46">
        <v>71</v>
      </c>
      <c r="BU10" s="46">
        <v>72</v>
      </c>
      <c r="BV10" s="46">
        <v>73</v>
      </c>
      <c r="BW10" s="46">
        <v>74</v>
      </c>
      <c r="BX10" s="46">
        <v>75</v>
      </c>
      <c r="BY10" s="46">
        <v>76</v>
      </c>
      <c r="BZ10" s="46">
        <v>77</v>
      </c>
      <c r="CA10" s="46">
        <v>78</v>
      </c>
      <c r="CB10" s="46">
        <v>79</v>
      </c>
      <c r="CC10" s="46">
        <v>80</v>
      </c>
      <c r="CD10" s="46">
        <v>81</v>
      </c>
      <c r="CE10" s="46">
        <v>82</v>
      </c>
      <c r="CF10" s="46">
        <v>83</v>
      </c>
      <c r="CG10" s="46">
        <v>84</v>
      </c>
      <c r="CH10" s="46">
        <v>85</v>
      </c>
      <c r="CI10" s="46">
        <v>86</v>
      </c>
      <c r="CJ10" s="46">
        <v>87</v>
      </c>
      <c r="CK10" s="46">
        <v>88</v>
      </c>
      <c r="CL10" s="46">
        <v>89</v>
      </c>
      <c r="CM10" s="46">
        <v>90</v>
      </c>
      <c r="CN10" s="46">
        <v>91</v>
      </c>
      <c r="CO10" s="46">
        <v>92</v>
      </c>
      <c r="CP10" s="46">
        <v>93</v>
      </c>
      <c r="CQ10" s="46">
        <v>94</v>
      </c>
      <c r="CR10" s="46">
        <v>95</v>
      </c>
      <c r="CS10" s="46">
        <v>96</v>
      </c>
      <c r="CT10" s="46">
        <v>97</v>
      </c>
      <c r="CU10" s="46">
        <v>98</v>
      </c>
      <c r="CV10" s="46">
        <v>99</v>
      </c>
      <c r="CW10" s="46">
        <v>100</v>
      </c>
      <c r="CX10" s="46">
        <v>101</v>
      </c>
      <c r="CY10" s="46">
        <v>102</v>
      </c>
      <c r="CZ10" s="46">
        <v>103</v>
      </c>
      <c r="DA10" s="46">
        <v>104</v>
      </c>
      <c r="DB10" s="46">
        <v>105</v>
      </c>
      <c r="DC10" s="46">
        <v>106</v>
      </c>
      <c r="DD10" s="46">
        <v>107</v>
      </c>
      <c r="DE10" s="46">
        <v>108</v>
      </c>
      <c r="DF10" s="46">
        <v>109</v>
      </c>
    </row>
    <row r="11" spans="1:118" s="9" customFormat="1" ht="12" customHeight="1">
      <c r="A11" s="48" t="s">
        <v>83</v>
      </c>
      <c r="B11" s="49"/>
      <c r="C11" s="50"/>
      <c r="D11" s="50"/>
      <c r="E11" s="50"/>
      <c r="F11" s="51"/>
      <c r="G11" s="51"/>
      <c r="H11" s="51"/>
      <c r="I11" s="51"/>
      <c r="J11" s="51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3"/>
      <c r="V11" s="53"/>
      <c r="W11" s="51"/>
      <c r="X11" s="51"/>
      <c r="Y11" s="51"/>
      <c r="Z11" s="51"/>
      <c r="AA11" s="51"/>
      <c r="AB11" s="51"/>
      <c r="AC11" s="51"/>
      <c r="AD11" s="55"/>
      <c r="AE11" s="55"/>
      <c r="AF11" s="57"/>
      <c r="AG11" s="57"/>
      <c r="AH11" s="51"/>
      <c r="AI11" s="51"/>
      <c r="AJ11" s="51"/>
      <c r="AK11" s="57"/>
      <c r="AL11" s="57"/>
      <c r="AM11" s="51"/>
      <c r="AN11" s="51"/>
      <c r="AO11" s="51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5"/>
      <c r="BL11" s="56"/>
      <c r="BM11" s="56"/>
      <c r="BN11" s="54"/>
      <c r="BO11" s="54"/>
      <c r="BP11" s="54"/>
      <c r="BQ11" s="54"/>
      <c r="BR11" s="54"/>
      <c r="BS11" s="55"/>
      <c r="BT11" s="56"/>
      <c r="BU11" s="56"/>
      <c r="BV11" s="56"/>
      <c r="BW11" s="56"/>
      <c r="BX11" s="58"/>
      <c r="BY11" s="51"/>
      <c r="BZ11" s="51"/>
      <c r="CA11" s="51"/>
      <c r="CB11" s="51"/>
      <c r="CC11" s="51"/>
      <c r="CD11" s="51"/>
      <c r="CE11" s="51"/>
      <c r="CF11" s="51"/>
      <c r="CG11" s="59"/>
      <c r="CH11" s="59"/>
      <c r="CI11" s="51"/>
      <c r="CJ11" s="51"/>
      <c r="CK11" s="55"/>
      <c r="CL11" s="56"/>
      <c r="CM11" s="56"/>
      <c r="CN11" s="56"/>
      <c r="CO11" s="60"/>
      <c r="CP11" s="60"/>
      <c r="CQ11" s="60"/>
      <c r="CR11" s="60"/>
      <c r="CS11" s="60"/>
      <c r="CT11" s="59"/>
      <c r="CU11" s="59"/>
      <c r="CV11" s="59"/>
      <c r="CW11" s="59"/>
      <c r="CX11" s="59"/>
      <c r="CY11" s="59"/>
      <c r="CZ11" s="54"/>
      <c r="DA11" s="61"/>
      <c r="DB11" s="62"/>
      <c r="DC11" s="62"/>
      <c r="DD11" s="62"/>
      <c r="DE11" s="64"/>
      <c r="DF11" s="63"/>
    </row>
    <row r="12" spans="1:118" s="83" customFormat="1" ht="12" customHeight="1">
      <c r="A12" s="65" t="s">
        <v>21</v>
      </c>
      <c r="B12" s="66"/>
      <c r="C12" s="67"/>
      <c r="D12" s="67"/>
      <c r="E12" s="67"/>
      <c r="F12" s="68"/>
      <c r="G12" s="68"/>
      <c r="H12" s="69"/>
      <c r="I12" s="69"/>
      <c r="J12" s="57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1"/>
      <c r="V12" s="71"/>
      <c r="W12" s="54"/>
      <c r="X12" s="54"/>
      <c r="Y12" s="54"/>
      <c r="Z12" s="54"/>
      <c r="AA12" s="74"/>
      <c r="AB12" s="74"/>
      <c r="AC12" s="74"/>
      <c r="AD12" s="72"/>
      <c r="AE12" s="72"/>
      <c r="AF12" s="74"/>
      <c r="AG12" s="74"/>
      <c r="AH12" s="57"/>
      <c r="AI12" s="57"/>
      <c r="AJ12" s="57"/>
      <c r="AK12" s="74"/>
      <c r="AL12" s="74"/>
      <c r="AM12" s="54"/>
      <c r="AN12" s="54"/>
      <c r="AO12" s="54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2"/>
      <c r="BF12" s="72"/>
      <c r="BG12" s="72"/>
      <c r="BH12" s="72"/>
      <c r="BI12" s="72"/>
      <c r="BJ12" s="72"/>
      <c r="BK12" s="73"/>
      <c r="BL12" s="73"/>
      <c r="BM12" s="73"/>
      <c r="BN12" s="72"/>
      <c r="BO12" s="72"/>
      <c r="BP12" s="72"/>
      <c r="BQ12" s="72"/>
      <c r="BR12" s="72"/>
      <c r="BS12" s="73"/>
      <c r="BT12" s="73"/>
      <c r="BU12" s="73"/>
      <c r="BV12" s="73"/>
      <c r="BW12" s="73"/>
      <c r="BX12" s="75"/>
      <c r="BY12" s="57"/>
      <c r="BZ12" s="57"/>
      <c r="CA12" s="57"/>
      <c r="CB12" s="57"/>
      <c r="CC12" s="57"/>
      <c r="CD12" s="57"/>
      <c r="CE12" s="57"/>
      <c r="CF12" s="57"/>
      <c r="CG12" s="57"/>
      <c r="CH12" s="57"/>
      <c r="CI12" s="57"/>
      <c r="CJ12" s="57"/>
      <c r="CK12" s="73"/>
      <c r="CL12" s="73"/>
      <c r="CM12" s="73"/>
      <c r="CN12" s="73"/>
      <c r="CO12" s="76"/>
      <c r="CP12" s="76"/>
      <c r="CQ12" s="76"/>
      <c r="CR12" s="76"/>
      <c r="CS12" s="76"/>
      <c r="CT12" s="57"/>
      <c r="CU12" s="57"/>
      <c r="CV12" s="57"/>
      <c r="CW12" s="57"/>
      <c r="CX12" s="57"/>
      <c r="CY12" s="77"/>
      <c r="CZ12" s="72"/>
      <c r="DA12" s="78"/>
      <c r="DB12" s="79"/>
      <c r="DC12" s="79"/>
      <c r="DD12" s="79"/>
      <c r="DE12" s="81"/>
      <c r="DF12" s="82"/>
    </row>
    <row r="13" spans="1:118" s="83" customFormat="1" ht="12" customHeight="1">
      <c r="A13" s="48" t="s">
        <v>84</v>
      </c>
      <c r="B13" s="84"/>
      <c r="C13" s="85"/>
      <c r="D13" s="85"/>
      <c r="E13" s="85"/>
      <c r="F13" s="86"/>
      <c r="G13" s="86"/>
      <c r="H13" s="87"/>
      <c r="I13" s="87"/>
      <c r="J13" s="89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1"/>
      <c r="V13" s="91"/>
      <c r="W13" s="98"/>
      <c r="X13" s="98"/>
      <c r="Y13" s="98"/>
      <c r="Z13" s="98"/>
      <c r="AA13" s="74"/>
      <c r="AB13" s="74"/>
      <c r="AC13" s="74"/>
      <c r="AD13" s="94"/>
      <c r="AE13" s="94"/>
      <c r="AF13" s="95"/>
      <c r="AG13" s="95"/>
      <c r="AH13" s="89"/>
      <c r="AI13" s="89"/>
      <c r="AJ13" s="89"/>
      <c r="AK13" s="95"/>
      <c r="AL13" s="95"/>
      <c r="AM13" s="98"/>
      <c r="AN13" s="98"/>
      <c r="AO13" s="98"/>
      <c r="AP13" s="92"/>
      <c r="AQ13" s="92"/>
      <c r="AR13" s="92"/>
      <c r="AS13" s="92"/>
      <c r="AT13" s="92"/>
      <c r="AU13" s="92"/>
      <c r="AV13" s="92"/>
      <c r="AW13" s="93"/>
      <c r="AX13" s="92"/>
      <c r="AY13" s="92"/>
      <c r="AZ13" s="92"/>
      <c r="BA13" s="92"/>
      <c r="BB13" s="92"/>
      <c r="BC13" s="92"/>
      <c r="BD13" s="92"/>
      <c r="BE13" s="93"/>
      <c r="BF13" s="92"/>
      <c r="BG13" s="92"/>
      <c r="BH13" s="92"/>
      <c r="BI13" s="92"/>
      <c r="BJ13" s="93"/>
      <c r="BK13" s="76"/>
      <c r="BL13" s="76"/>
      <c r="BM13" s="76"/>
      <c r="BN13" s="92"/>
      <c r="BO13" s="92"/>
      <c r="BP13" s="92"/>
      <c r="BQ13" s="92"/>
      <c r="BR13" s="93"/>
      <c r="BS13" s="76"/>
      <c r="BT13" s="76"/>
      <c r="BU13" s="76"/>
      <c r="BV13" s="76"/>
      <c r="BW13" s="76"/>
      <c r="BX13" s="80"/>
      <c r="BY13" s="89"/>
      <c r="BZ13" s="89"/>
      <c r="CA13" s="89"/>
      <c r="CB13" s="89"/>
      <c r="CC13" s="89"/>
      <c r="CD13" s="89"/>
      <c r="CE13" s="89"/>
      <c r="CF13" s="89"/>
      <c r="CG13" s="89"/>
      <c r="CH13" s="89"/>
      <c r="CI13" s="89"/>
      <c r="CJ13" s="89"/>
      <c r="CK13" s="76"/>
      <c r="CL13" s="76"/>
      <c r="CM13" s="76"/>
      <c r="CN13" s="76"/>
      <c r="CO13" s="76"/>
      <c r="CP13" s="76"/>
      <c r="CQ13" s="76"/>
      <c r="CR13" s="76"/>
      <c r="CS13" s="76"/>
      <c r="CT13" s="89"/>
      <c r="CU13" s="89"/>
      <c r="CV13" s="89"/>
      <c r="CW13" s="89"/>
      <c r="CX13" s="89"/>
      <c r="CY13" s="96"/>
      <c r="CZ13" s="92"/>
      <c r="DA13" s="79"/>
      <c r="DB13" s="79"/>
      <c r="DC13" s="79"/>
      <c r="DD13" s="79"/>
      <c r="DE13" s="81"/>
      <c r="DF13" s="82"/>
    </row>
    <row r="14" spans="1:118" s="83" customFormat="1" ht="12" customHeight="1">
      <c r="A14" s="48" t="s">
        <v>27</v>
      </c>
      <c r="B14" s="84"/>
      <c r="C14" s="85"/>
      <c r="D14" s="85"/>
      <c r="E14" s="85"/>
      <c r="F14" s="86"/>
      <c r="G14" s="86"/>
      <c r="H14" s="87"/>
      <c r="I14" s="87"/>
      <c r="J14" s="89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1"/>
      <c r="V14" s="91"/>
      <c r="W14" s="98"/>
      <c r="X14" s="98"/>
      <c r="Y14" s="98"/>
      <c r="Z14" s="98"/>
      <c r="AA14" s="74"/>
      <c r="AB14" s="74"/>
      <c r="AC14" s="74"/>
      <c r="AD14" s="94"/>
      <c r="AE14" s="94"/>
      <c r="AF14" s="74"/>
      <c r="AG14" s="74"/>
      <c r="AH14" s="89"/>
      <c r="AI14" s="89"/>
      <c r="AJ14" s="89"/>
      <c r="AK14" s="74"/>
      <c r="AL14" s="74"/>
      <c r="AM14" s="98"/>
      <c r="AN14" s="98"/>
      <c r="AO14" s="98"/>
      <c r="AP14" s="97"/>
      <c r="AQ14" s="97"/>
      <c r="AR14" s="97"/>
      <c r="AS14" s="97"/>
      <c r="AT14" s="97"/>
      <c r="AU14" s="97"/>
      <c r="AV14" s="97"/>
      <c r="AW14" s="98"/>
      <c r="AX14" s="97"/>
      <c r="AY14" s="97"/>
      <c r="AZ14" s="97"/>
      <c r="BA14" s="97"/>
      <c r="BB14" s="97"/>
      <c r="BC14" s="97"/>
      <c r="BD14" s="97"/>
      <c r="BE14" s="98"/>
      <c r="BF14" s="97"/>
      <c r="BG14" s="97"/>
      <c r="BH14" s="97"/>
      <c r="BI14" s="97"/>
      <c r="BJ14" s="98"/>
      <c r="BK14" s="76"/>
      <c r="BL14" s="76"/>
      <c r="BM14" s="76"/>
      <c r="BN14" s="97"/>
      <c r="BO14" s="97"/>
      <c r="BP14" s="97"/>
      <c r="BQ14" s="97"/>
      <c r="BR14" s="98"/>
      <c r="BS14" s="76"/>
      <c r="BT14" s="76"/>
      <c r="BU14" s="76"/>
      <c r="BV14" s="76"/>
      <c r="BW14" s="76"/>
      <c r="BX14" s="80"/>
      <c r="BY14" s="89"/>
      <c r="BZ14" s="89"/>
      <c r="CA14" s="89"/>
      <c r="CB14" s="89"/>
      <c r="CC14" s="89"/>
      <c r="CD14" s="89"/>
      <c r="CE14" s="89"/>
      <c r="CF14" s="89"/>
      <c r="CG14" s="89"/>
      <c r="CH14" s="89"/>
      <c r="CI14" s="89"/>
      <c r="CJ14" s="89"/>
      <c r="CK14" s="76"/>
      <c r="CL14" s="76"/>
      <c r="CM14" s="76"/>
      <c r="CN14" s="76"/>
      <c r="CO14" s="76"/>
      <c r="CP14" s="76"/>
      <c r="CQ14" s="76"/>
      <c r="CR14" s="76"/>
      <c r="CS14" s="76"/>
      <c r="CT14" s="89"/>
      <c r="CU14" s="89"/>
      <c r="CV14" s="89"/>
      <c r="CW14" s="89"/>
      <c r="CX14" s="89"/>
      <c r="CY14" s="96"/>
      <c r="CZ14" s="97"/>
      <c r="DA14" s="79"/>
      <c r="DB14" s="79"/>
      <c r="DC14" s="79"/>
      <c r="DD14" s="79"/>
      <c r="DE14" s="81"/>
      <c r="DF14" s="82"/>
    </row>
    <row r="15" spans="1:118" s="83" customFormat="1" ht="12" customHeight="1">
      <c r="A15" s="99" t="s">
        <v>31</v>
      </c>
      <c r="B15" s="100" t="s">
        <v>32</v>
      </c>
      <c r="C15" s="86" t="s">
        <v>33</v>
      </c>
      <c r="D15" s="86" t="s">
        <v>131</v>
      </c>
      <c r="E15" s="86" t="s">
        <v>130</v>
      </c>
      <c r="F15" s="86" t="s">
        <v>34</v>
      </c>
      <c r="G15" s="86" t="s">
        <v>129</v>
      </c>
      <c r="H15" s="101" t="s">
        <v>35</v>
      </c>
      <c r="I15" s="102" t="s">
        <v>104</v>
      </c>
      <c r="J15" s="89" t="s">
        <v>101</v>
      </c>
      <c r="K15" s="90" t="s">
        <v>242</v>
      </c>
      <c r="L15" s="90" t="s">
        <v>243</v>
      </c>
      <c r="M15" s="90" t="s">
        <v>244</v>
      </c>
      <c r="N15" s="90" t="s">
        <v>193</v>
      </c>
      <c r="O15" s="90" t="s">
        <v>245</v>
      </c>
      <c r="P15" s="90" t="s">
        <v>246</v>
      </c>
      <c r="Q15" s="90" t="s">
        <v>247</v>
      </c>
      <c r="R15" s="90" t="s">
        <v>248</v>
      </c>
      <c r="S15" s="90" t="s">
        <v>249</v>
      </c>
      <c r="T15" s="90" t="s">
        <v>250</v>
      </c>
      <c r="U15" s="91" t="s">
        <v>251</v>
      </c>
      <c r="V15" s="91" t="s">
        <v>253</v>
      </c>
      <c r="W15" s="98" t="s">
        <v>198</v>
      </c>
      <c r="X15" s="98" t="s">
        <v>197</v>
      </c>
      <c r="Y15" s="98" t="s">
        <v>200</v>
      </c>
      <c r="Z15" s="98" t="s">
        <v>201</v>
      </c>
      <c r="AA15" s="74" t="s">
        <v>202</v>
      </c>
      <c r="AB15" s="74" t="s">
        <v>252</v>
      </c>
      <c r="AC15" s="74" t="s">
        <v>108</v>
      </c>
      <c r="AD15" s="94" t="s">
        <v>36</v>
      </c>
      <c r="AE15" s="94" t="s">
        <v>37</v>
      </c>
      <c r="AF15" s="74" t="s">
        <v>352</v>
      </c>
      <c r="AG15" s="74" t="s">
        <v>90</v>
      </c>
      <c r="AH15" s="74" t="s">
        <v>351</v>
      </c>
      <c r="AI15" s="74" t="s">
        <v>353</v>
      </c>
      <c r="AJ15" s="74" t="s">
        <v>203</v>
      </c>
      <c r="AK15" s="74" t="s">
        <v>91</v>
      </c>
      <c r="AL15" s="74" t="s">
        <v>92</v>
      </c>
      <c r="AM15" s="74" t="s">
        <v>204</v>
      </c>
      <c r="AN15" s="74" t="s">
        <v>100</v>
      </c>
      <c r="AO15" s="74" t="s">
        <v>205</v>
      </c>
      <c r="AP15" s="74" t="s">
        <v>207</v>
      </c>
      <c r="AQ15" s="74" t="s">
        <v>208</v>
      </c>
      <c r="AR15" s="74" t="s">
        <v>210</v>
      </c>
      <c r="AS15" s="74" t="s">
        <v>206</v>
      </c>
      <c r="AT15" s="74" t="s">
        <v>209</v>
      </c>
      <c r="AU15" s="74" t="s">
        <v>211</v>
      </c>
      <c r="AV15" s="74" t="s">
        <v>212</v>
      </c>
      <c r="AW15" s="74" t="s">
        <v>94</v>
      </c>
      <c r="AX15" s="74" t="s">
        <v>213</v>
      </c>
      <c r="AY15" s="74" t="s">
        <v>215</v>
      </c>
      <c r="AZ15" s="74" t="s">
        <v>218</v>
      </c>
      <c r="BA15" s="74" t="s">
        <v>214</v>
      </c>
      <c r="BB15" s="74" t="s">
        <v>216</v>
      </c>
      <c r="BC15" s="74" t="s">
        <v>219</v>
      </c>
      <c r="BD15" s="74" t="s">
        <v>217</v>
      </c>
      <c r="BE15" s="74" t="s">
        <v>220</v>
      </c>
      <c r="BF15" s="74" t="s">
        <v>221</v>
      </c>
      <c r="BG15" s="74" t="s">
        <v>222</v>
      </c>
      <c r="BH15" s="74" t="s">
        <v>223</v>
      </c>
      <c r="BI15" s="74" t="s">
        <v>224</v>
      </c>
      <c r="BJ15" s="74" t="s">
        <v>225</v>
      </c>
      <c r="BK15" s="74" t="s">
        <v>226</v>
      </c>
      <c r="BL15" s="74" t="s">
        <v>227</v>
      </c>
      <c r="BM15" s="74" t="s">
        <v>228</v>
      </c>
      <c r="BN15" s="74" t="s">
        <v>229</v>
      </c>
      <c r="BO15" s="74" t="s">
        <v>230</v>
      </c>
      <c r="BP15" s="74" t="s">
        <v>231</v>
      </c>
      <c r="BQ15" s="74" t="s">
        <v>232</v>
      </c>
      <c r="BR15" s="74" t="s">
        <v>233</v>
      </c>
      <c r="BS15" s="74" t="s">
        <v>234</v>
      </c>
      <c r="BT15" s="74" t="s">
        <v>235</v>
      </c>
      <c r="BU15" s="74" t="s">
        <v>236</v>
      </c>
      <c r="BV15" s="74" t="s">
        <v>237</v>
      </c>
      <c r="BW15" s="74" t="s">
        <v>238</v>
      </c>
      <c r="BX15" s="74" t="s">
        <v>38</v>
      </c>
      <c r="BY15" s="74" t="s">
        <v>58</v>
      </c>
      <c r="BZ15" s="74" t="s">
        <v>39</v>
      </c>
      <c r="CA15" s="74" t="s">
        <v>40</v>
      </c>
      <c r="CB15" s="74" t="s">
        <v>41</v>
      </c>
      <c r="CC15" s="74" t="s">
        <v>42</v>
      </c>
      <c r="CD15" s="74" t="s">
        <v>59</v>
      </c>
      <c r="CE15" s="74" t="s">
        <v>43</v>
      </c>
      <c r="CF15" s="74" t="s">
        <v>44</v>
      </c>
      <c r="CG15" s="74" t="s">
        <v>47</v>
      </c>
      <c r="CH15" s="74" t="s">
        <v>48</v>
      </c>
      <c r="CI15" s="74" t="s">
        <v>102</v>
      </c>
      <c r="CJ15" s="74" t="s">
        <v>103</v>
      </c>
      <c r="CK15" s="74" t="s">
        <v>345</v>
      </c>
      <c r="CL15" s="74" t="s">
        <v>347</v>
      </c>
      <c r="CM15" s="74" t="s">
        <v>346</v>
      </c>
      <c r="CN15" s="74" t="s">
        <v>348</v>
      </c>
      <c r="CO15" s="74" t="s">
        <v>349</v>
      </c>
      <c r="CP15" s="74" t="s">
        <v>239</v>
      </c>
      <c r="CQ15" s="74"/>
      <c r="CR15" s="74" t="s">
        <v>56</v>
      </c>
      <c r="CS15" s="74" t="s">
        <v>71</v>
      </c>
      <c r="CT15" s="74" t="s">
        <v>51</v>
      </c>
      <c r="CU15" s="74" t="s">
        <v>52</v>
      </c>
      <c r="CV15" s="74" t="s">
        <v>68</v>
      </c>
      <c r="CW15" s="74" t="s">
        <v>69</v>
      </c>
      <c r="CX15" s="74" t="s">
        <v>53</v>
      </c>
      <c r="CY15" s="74" t="s">
        <v>49</v>
      </c>
      <c r="CZ15" s="74" t="s">
        <v>240</v>
      </c>
      <c r="DA15" s="74" t="s">
        <v>96</v>
      </c>
      <c r="DB15" s="74" t="s">
        <v>256</v>
      </c>
      <c r="DC15" s="74" t="s">
        <v>257</v>
      </c>
      <c r="DD15" s="74" t="s">
        <v>97</v>
      </c>
      <c r="DE15" s="81" t="s">
        <v>54</v>
      </c>
      <c r="DF15" s="82" t="s">
        <v>55</v>
      </c>
      <c r="DI15" s="107"/>
      <c r="DL15" s="107"/>
      <c r="DN15" s="107"/>
    </row>
    <row r="16" spans="1:118" s="83" customFormat="1" ht="12" customHeight="1">
      <c r="A16" s="48" t="s">
        <v>29</v>
      </c>
      <c r="B16" s="100"/>
      <c r="C16" s="86"/>
      <c r="D16" s="86"/>
      <c r="E16" s="86"/>
      <c r="F16" s="86"/>
      <c r="G16" s="86"/>
      <c r="H16" s="101"/>
      <c r="I16" s="102"/>
      <c r="J16" s="89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1"/>
      <c r="V16" s="91"/>
      <c r="W16" s="98"/>
      <c r="X16" s="98"/>
      <c r="Y16" s="98"/>
      <c r="Z16" s="98"/>
      <c r="AA16" s="74"/>
      <c r="AB16" s="74"/>
      <c r="AC16" s="74"/>
      <c r="AD16" s="94"/>
      <c r="AE16" s="94"/>
      <c r="AF16" s="74"/>
      <c r="AG16" s="74"/>
      <c r="AH16" s="103"/>
      <c r="AI16" s="103"/>
      <c r="AJ16" s="103"/>
      <c r="AK16" s="74"/>
      <c r="AL16" s="74"/>
      <c r="AM16" s="98"/>
      <c r="AN16" s="98"/>
      <c r="AO16" s="98"/>
      <c r="AP16" s="97"/>
      <c r="AQ16" s="97"/>
      <c r="AR16" s="97"/>
      <c r="AS16" s="97"/>
      <c r="AT16" s="97"/>
      <c r="AU16" s="97"/>
      <c r="AV16" s="97"/>
      <c r="AW16" s="98"/>
      <c r="AX16" s="97"/>
      <c r="AY16" s="97"/>
      <c r="AZ16" s="97"/>
      <c r="BA16" s="97"/>
      <c r="BB16" s="97"/>
      <c r="BC16" s="97"/>
      <c r="BD16" s="97"/>
      <c r="BE16" s="98"/>
      <c r="BF16" s="97"/>
      <c r="BG16" s="97"/>
      <c r="BH16" s="97"/>
      <c r="BI16" s="97"/>
      <c r="BJ16" s="98"/>
      <c r="BK16" s="104"/>
      <c r="BL16" s="104"/>
      <c r="BM16" s="104"/>
      <c r="BN16" s="97"/>
      <c r="BO16" s="97"/>
      <c r="BP16" s="97"/>
      <c r="BQ16" s="97"/>
      <c r="BR16" s="98"/>
      <c r="BS16" s="104"/>
      <c r="BT16" s="104"/>
      <c r="BU16" s="104"/>
      <c r="BV16" s="104"/>
      <c r="BW16" s="104"/>
      <c r="BX16" s="80"/>
      <c r="BY16" s="89"/>
      <c r="BZ16" s="89"/>
      <c r="CA16" s="89"/>
      <c r="CB16" s="89"/>
      <c r="CC16" s="89"/>
      <c r="CD16" s="89"/>
      <c r="CE16" s="89"/>
      <c r="CF16" s="89"/>
      <c r="CG16" s="89"/>
      <c r="CH16" s="89"/>
      <c r="CI16" s="89"/>
      <c r="CJ16" s="105"/>
      <c r="CK16" s="76"/>
      <c r="CL16" s="106"/>
      <c r="CM16" s="76"/>
      <c r="CN16" s="76"/>
      <c r="CO16" s="76"/>
      <c r="CP16" s="76"/>
      <c r="CQ16" s="76"/>
      <c r="CR16" s="76"/>
      <c r="CS16" s="76"/>
      <c r="CT16" s="89"/>
      <c r="CU16" s="89"/>
      <c r="CV16" s="89"/>
      <c r="CW16" s="89"/>
      <c r="CX16" s="89"/>
      <c r="CY16" s="96"/>
      <c r="CZ16" s="97"/>
      <c r="DA16" s="79"/>
      <c r="DB16" s="79"/>
      <c r="DC16" s="79"/>
      <c r="DD16" s="79"/>
      <c r="DE16" s="81"/>
      <c r="DF16" s="82"/>
      <c r="DI16" s="107"/>
      <c r="DL16" s="107"/>
      <c r="DN16" s="107"/>
    </row>
    <row r="17" spans="1:118" s="83" customFormat="1" ht="12" customHeight="1">
      <c r="A17" s="108" t="s">
        <v>57</v>
      </c>
      <c r="B17" s="109"/>
      <c r="C17" s="110"/>
      <c r="D17" s="110"/>
      <c r="E17" s="110"/>
      <c r="F17" s="111"/>
      <c r="G17" s="111"/>
      <c r="H17" s="112"/>
      <c r="I17" s="113"/>
      <c r="J17" s="115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7"/>
      <c r="V17" s="117"/>
      <c r="W17" s="206"/>
      <c r="X17" s="206"/>
      <c r="Y17" s="206"/>
      <c r="Z17" s="206"/>
      <c r="AA17" s="74"/>
      <c r="AB17" s="74"/>
      <c r="AC17" s="74"/>
      <c r="AD17" s="119"/>
      <c r="AE17" s="119"/>
      <c r="AF17" s="74"/>
      <c r="AG17" s="74"/>
      <c r="AH17" s="118"/>
      <c r="AI17" s="118"/>
      <c r="AJ17" s="118"/>
      <c r="AK17" s="74"/>
      <c r="AL17" s="74"/>
      <c r="AM17" s="206"/>
      <c r="AN17" s="206"/>
      <c r="AO17" s="206"/>
      <c r="AP17" s="97"/>
      <c r="AQ17" s="97"/>
      <c r="AR17" s="97"/>
      <c r="AS17" s="97"/>
      <c r="AT17" s="97"/>
      <c r="AU17" s="97"/>
      <c r="AV17" s="97"/>
      <c r="AW17" s="98"/>
      <c r="AX17" s="97"/>
      <c r="AY17" s="97"/>
      <c r="AZ17" s="97"/>
      <c r="BA17" s="97"/>
      <c r="BB17" s="97"/>
      <c r="BC17" s="97"/>
      <c r="BD17" s="97"/>
      <c r="BE17" s="98"/>
      <c r="BF17" s="97"/>
      <c r="BG17" s="97"/>
      <c r="BH17" s="97"/>
      <c r="BI17" s="97"/>
      <c r="BJ17" s="98"/>
      <c r="BK17" s="120"/>
      <c r="BL17" s="120"/>
      <c r="BM17" s="120"/>
      <c r="BN17" s="97"/>
      <c r="BO17" s="97"/>
      <c r="BP17" s="97"/>
      <c r="BQ17" s="97"/>
      <c r="BR17" s="98"/>
      <c r="BS17" s="120"/>
      <c r="BT17" s="120"/>
      <c r="BU17" s="120"/>
      <c r="BV17" s="120"/>
      <c r="BW17" s="120"/>
      <c r="BX17" s="122"/>
      <c r="BY17" s="115"/>
      <c r="BZ17" s="115"/>
      <c r="CA17" s="115"/>
      <c r="CB17" s="115"/>
      <c r="CC17" s="115"/>
      <c r="CD17" s="115"/>
      <c r="CE17" s="115"/>
      <c r="CF17" s="115"/>
      <c r="CG17" s="115"/>
      <c r="CH17" s="115"/>
      <c r="CI17" s="115"/>
      <c r="CJ17" s="115"/>
      <c r="CK17" s="123"/>
      <c r="CL17" s="124"/>
      <c r="CM17" s="123"/>
      <c r="CN17" s="123"/>
      <c r="CO17" s="123"/>
      <c r="CP17" s="123"/>
      <c r="CQ17" s="123"/>
      <c r="CR17" s="123"/>
      <c r="CS17" s="123"/>
      <c r="CT17" s="115"/>
      <c r="CU17" s="115"/>
      <c r="CV17" s="115"/>
      <c r="CW17" s="115"/>
      <c r="CX17" s="115"/>
      <c r="CY17" s="121"/>
      <c r="CZ17" s="97"/>
      <c r="DA17" s="125"/>
      <c r="DB17" s="125"/>
      <c r="DC17" s="125"/>
      <c r="DD17" s="125"/>
      <c r="DE17" s="126"/>
      <c r="DF17" s="127"/>
      <c r="DI17" s="107"/>
      <c r="DL17" s="107"/>
      <c r="DN17" s="107"/>
    </row>
    <row r="18" spans="1:118" s="134" customFormat="1" ht="12" customHeight="1" thickBot="1">
      <c r="A18" s="250" t="s">
        <v>22</v>
      </c>
      <c r="B18" s="251"/>
      <c r="C18" s="252"/>
      <c r="D18" s="202"/>
      <c r="E18" s="202"/>
      <c r="F18" s="128"/>
      <c r="G18" s="128"/>
      <c r="H18" s="129"/>
      <c r="I18" s="129"/>
      <c r="J18" s="130" t="s">
        <v>101</v>
      </c>
      <c r="K18" s="130" t="s">
        <v>242</v>
      </c>
      <c r="L18" s="130" t="s">
        <v>243</v>
      </c>
      <c r="M18" s="130" t="s">
        <v>244</v>
      </c>
      <c r="N18" s="130" t="s">
        <v>193</v>
      </c>
      <c r="O18" s="130" t="s">
        <v>245</v>
      </c>
      <c r="P18" s="130" t="s">
        <v>246</v>
      </c>
      <c r="Q18" s="130" t="s">
        <v>247</v>
      </c>
      <c r="R18" s="130" t="s">
        <v>248</v>
      </c>
      <c r="S18" s="130" t="s">
        <v>249</v>
      </c>
      <c r="T18" s="130" t="s">
        <v>250</v>
      </c>
      <c r="U18" s="130" t="s">
        <v>251</v>
      </c>
      <c r="V18" s="130" t="s">
        <v>253</v>
      </c>
      <c r="W18" s="130" t="s">
        <v>198</v>
      </c>
      <c r="X18" s="130" t="s">
        <v>197</v>
      </c>
      <c r="Y18" s="130" t="s">
        <v>200</v>
      </c>
      <c r="Z18" s="130" t="s">
        <v>201</v>
      </c>
      <c r="AA18" s="132" t="s">
        <v>202</v>
      </c>
      <c r="AB18" s="132" t="s">
        <v>252</v>
      </c>
      <c r="AC18" s="130" t="s">
        <v>108</v>
      </c>
      <c r="AD18" s="130" t="s">
        <v>36</v>
      </c>
      <c r="AE18" s="130" t="s">
        <v>37</v>
      </c>
      <c r="AF18" s="131" t="s">
        <v>352</v>
      </c>
      <c r="AG18" s="131" t="s">
        <v>90</v>
      </c>
      <c r="AH18" s="131" t="s">
        <v>351</v>
      </c>
      <c r="AI18" s="131" t="s">
        <v>353</v>
      </c>
      <c r="AJ18" s="131" t="s">
        <v>203</v>
      </c>
      <c r="AK18" s="131" t="s">
        <v>91</v>
      </c>
      <c r="AL18" s="131" t="s">
        <v>92</v>
      </c>
      <c r="AM18" s="131" t="s">
        <v>204</v>
      </c>
      <c r="AN18" s="131" t="s">
        <v>100</v>
      </c>
      <c r="AO18" s="131" t="s">
        <v>205</v>
      </c>
      <c r="AP18" s="131" t="s">
        <v>207</v>
      </c>
      <c r="AQ18" s="131" t="s">
        <v>208</v>
      </c>
      <c r="AR18" s="131" t="s">
        <v>210</v>
      </c>
      <c r="AS18" s="131" t="s">
        <v>206</v>
      </c>
      <c r="AT18" s="131" t="s">
        <v>209</v>
      </c>
      <c r="AU18" s="131" t="s">
        <v>211</v>
      </c>
      <c r="AV18" s="131" t="s">
        <v>212</v>
      </c>
      <c r="AW18" s="131" t="s">
        <v>94</v>
      </c>
      <c r="AX18" s="131" t="s">
        <v>213</v>
      </c>
      <c r="AY18" s="131" t="s">
        <v>215</v>
      </c>
      <c r="AZ18" s="131" t="s">
        <v>218</v>
      </c>
      <c r="BA18" s="131" t="s">
        <v>214</v>
      </c>
      <c r="BB18" s="131" t="s">
        <v>216</v>
      </c>
      <c r="BC18" s="131" t="s">
        <v>219</v>
      </c>
      <c r="BD18" s="131" t="s">
        <v>217</v>
      </c>
      <c r="BE18" s="131" t="s">
        <v>220</v>
      </c>
      <c r="BF18" s="131" t="s">
        <v>221</v>
      </c>
      <c r="BG18" s="131" t="s">
        <v>222</v>
      </c>
      <c r="BH18" s="131" t="s">
        <v>223</v>
      </c>
      <c r="BI18" s="131" t="s">
        <v>224</v>
      </c>
      <c r="BJ18" s="131" t="s">
        <v>225</v>
      </c>
      <c r="BK18" s="131" t="s">
        <v>226</v>
      </c>
      <c r="BL18" s="131" t="s">
        <v>227</v>
      </c>
      <c r="BM18" s="131" t="s">
        <v>228</v>
      </c>
      <c r="BN18" s="131" t="s">
        <v>229</v>
      </c>
      <c r="BO18" s="131" t="s">
        <v>230</v>
      </c>
      <c r="BP18" s="131" t="s">
        <v>231</v>
      </c>
      <c r="BQ18" s="131" t="s">
        <v>232</v>
      </c>
      <c r="BR18" s="131" t="s">
        <v>233</v>
      </c>
      <c r="BS18" s="131" t="s">
        <v>234</v>
      </c>
      <c r="BT18" s="131" t="s">
        <v>235</v>
      </c>
      <c r="BU18" s="131" t="s">
        <v>236</v>
      </c>
      <c r="BV18" s="131" t="s">
        <v>237</v>
      </c>
      <c r="BW18" s="131" t="s">
        <v>238</v>
      </c>
      <c r="BX18" s="131" t="s">
        <v>38</v>
      </c>
      <c r="BY18" s="131" t="s">
        <v>58</v>
      </c>
      <c r="BZ18" s="131" t="s">
        <v>39</v>
      </c>
      <c r="CA18" s="131" t="s">
        <v>40</v>
      </c>
      <c r="CB18" s="131" t="s">
        <v>41</v>
      </c>
      <c r="CC18" s="131" t="s">
        <v>42</v>
      </c>
      <c r="CD18" s="131" t="s">
        <v>59</v>
      </c>
      <c r="CE18" s="131" t="s">
        <v>43</v>
      </c>
      <c r="CF18" s="131" t="s">
        <v>44</v>
      </c>
      <c r="CG18" s="131" t="s">
        <v>47</v>
      </c>
      <c r="CH18" s="131" t="s">
        <v>48</v>
      </c>
      <c r="CI18" s="131" t="s">
        <v>45</v>
      </c>
      <c r="CJ18" s="131" t="s">
        <v>46</v>
      </c>
      <c r="CK18" s="131" t="s">
        <v>345</v>
      </c>
      <c r="CL18" s="131" t="s">
        <v>347</v>
      </c>
      <c r="CM18" s="131" t="s">
        <v>346</v>
      </c>
      <c r="CN18" s="131" t="s">
        <v>348</v>
      </c>
      <c r="CO18" s="131" t="s">
        <v>349</v>
      </c>
      <c r="CP18" s="131" t="s">
        <v>239</v>
      </c>
      <c r="CQ18" s="131"/>
      <c r="CR18" s="131" t="s">
        <v>56</v>
      </c>
      <c r="CS18" s="131" t="s">
        <v>71</v>
      </c>
      <c r="CT18" s="131" t="s">
        <v>51</v>
      </c>
      <c r="CU18" s="131" t="s">
        <v>52</v>
      </c>
      <c r="CV18" s="131" t="s">
        <v>68</v>
      </c>
      <c r="CW18" s="131" t="s">
        <v>69</v>
      </c>
      <c r="CX18" s="131" t="s">
        <v>53</v>
      </c>
      <c r="CY18" s="131" t="s">
        <v>49</v>
      </c>
      <c r="CZ18" s="131" t="s">
        <v>240</v>
      </c>
      <c r="DA18" s="131" t="s">
        <v>96</v>
      </c>
      <c r="DB18" s="131" t="s">
        <v>256</v>
      </c>
      <c r="DC18" s="131" t="s">
        <v>257</v>
      </c>
      <c r="DD18" s="131" t="s">
        <v>97</v>
      </c>
      <c r="DE18" s="133"/>
      <c r="DF18" s="130"/>
    </row>
    <row r="19" spans="1:118" s="144" customFormat="1" ht="12" customHeight="1">
      <c r="A19" s="108" t="s">
        <v>28</v>
      </c>
      <c r="B19" s="135"/>
      <c r="C19" s="136"/>
      <c r="D19" s="136"/>
      <c r="E19" s="136"/>
      <c r="F19" s="137"/>
      <c r="G19" s="137"/>
      <c r="H19" s="138"/>
      <c r="I19" s="138"/>
      <c r="J19" s="139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8"/>
      <c r="X19" s="98"/>
      <c r="Y19" s="98"/>
      <c r="Z19" s="98"/>
      <c r="AA19" s="139"/>
      <c r="AB19" s="139"/>
      <c r="AC19" s="139"/>
      <c r="AD19" s="98"/>
      <c r="AE19" s="98"/>
      <c r="AF19" s="57"/>
      <c r="AG19" s="57"/>
      <c r="AH19" s="139"/>
      <c r="AI19" s="139"/>
      <c r="AJ19" s="139"/>
      <c r="AK19" s="57"/>
      <c r="AL19" s="57"/>
      <c r="AM19" s="98"/>
      <c r="AN19" s="98"/>
      <c r="AO19" s="98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4"/>
      <c r="BJ19" s="54"/>
      <c r="BK19" s="140"/>
      <c r="BL19" s="140"/>
      <c r="BM19" s="140"/>
      <c r="BN19" s="54"/>
      <c r="BO19" s="54"/>
      <c r="BP19" s="54"/>
      <c r="BQ19" s="54"/>
      <c r="BR19" s="54"/>
      <c r="BS19" s="140"/>
      <c r="BT19" s="140"/>
      <c r="BU19" s="140"/>
      <c r="BV19" s="140"/>
      <c r="BW19" s="140"/>
      <c r="BX19" s="139"/>
      <c r="BY19" s="139"/>
      <c r="BZ19" s="139"/>
      <c r="CA19" s="139"/>
      <c r="CB19" s="139"/>
      <c r="CC19" s="139"/>
      <c r="CD19" s="139"/>
      <c r="CE19" s="139"/>
      <c r="CF19" s="139"/>
      <c r="CG19" s="139"/>
      <c r="CH19" s="139"/>
      <c r="CI19" s="139"/>
      <c r="CJ19" s="139"/>
      <c r="CK19" s="140"/>
      <c r="CL19" s="141"/>
      <c r="CM19" s="140"/>
      <c r="CN19" s="140"/>
      <c r="CO19" s="141"/>
      <c r="CP19" s="141"/>
      <c r="CQ19" s="141"/>
      <c r="CR19" s="141"/>
      <c r="CS19" s="141"/>
      <c r="CT19" s="139"/>
      <c r="CU19" s="139"/>
      <c r="CV19" s="139"/>
      <c r="CW19" s="139"/>
      <c r="CX19" s="139"/>
      <c r="CY19" s="139"/>
      <c r="CZ19" s="54"/>
      <c r="DA19" s="139"/>
      <c r="DB19" s="142"/>
      <c r="DC19" s="142"/>
      <c r="DD19" s="142"/>
      <c r="DE19" s="143"/>
      <c r="DF19" s="142"/>
    </row>
    <row r="20" spans="1:118" s="144" customFormat="1" ht="12" customHeight="1">
      <c r="A20" s="48" t="s">
        <v>85</v>
      </c>
      <c r="B20" s="135"/>
      <c r="C20" s="136"/>
      <c r="D20" s="136"/>
      <c r="E20" s="136"/>
      <c r="F20" s="137"/>
      <c r="G20" s="137"/>
      <c r="H20" s="138"/>
      <c r="I20" s="138"/>
      <c r="J20" s="139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8"/>
      <c r="X20" s="98"/>
      <c r="Y20" s="98"/>
      <c r="Z20" s="98"/>
      <c r="AA20" s="139"/>
      <c r="AB20" s="139"/>
      <c r="AC20" s="139"/>
      <c r="AD20" s="94"/>
      <c r="AE20" s="94"/>
      <c r="AF20" s="74"/>
      <c r="AG20" s="74"/>
      <c r="AH20" s="139"/>
      <c r="AI20" s="139"/>
      <c r="AJ20" s="139"/>
      <c r="AK20" s="74"/>
      <c r="AL20" s="74"/>
      <c r="AM20" s="98"/>
      <c r="AN20" s="98"/>
      <c r="AO20" s="98"/>
      <c r="AP20" s="97"/>
      <c r="AQ20" s="97"/>
      <c r="AR20" s="97"/>
      <c r="AS20" s="97"/>
      <c r="AT20" s="97"/>
      <c r="AU20" s="97"/>
      <c r="AV20" s="97"/>
      <c r="AW20" s="98"/>
      <c r="AX20" s="97"/>
      <c r="AY20" s="97"/>
      <c r="AZ20" s="97"/>
      <c r="BA20" s="97"/>
      <c r="BB20" s="97"/>
      <c r="BC20" s="97"/>
      <c r="BD20" s="97"/>
      <c r="BE20" s="98"/>
      <c r="BF20" s="98"/>
      <c r="BG20" s="98"/>
      <c r="BH20" s="98"/>
      <c r="BI20" s="98"/>
      <c r="BJ20" s="98"/>
      <c r="BK20" s="140"/>
      <c r="BL20" s="140"/>
      <c r="BM20" s="140"/>
      <c r="BN20" s="98"/>
      <c r="BO20" s="98"/>
      <c r="BP20" s="98"/>
      <c r="BQ20" s="98"/>
      <c r="BR20" s="98"/>
      <c r="BS20" s="140"/>
      <c r="BT20" s="140"/>
      <c r="BU20" s="140"/>
      <c r="BV20" s="140"/>
      <c r="BW20" s="140"/>
      <c r="BX20" s="139"/>
      <c r="BY20" s="139"/>
      <c r="BZ20" s="139"/>
      <c r="CA20" s="139"/>
      <c r="CB20" s="139"/>
      <c r="CC20" s="139"/>
      <c r="CD20" s="139"/>
      <c r="CE20" s="139"/>
      <c r="CF20" s="139"/>
      <c r="CG20" s="139"/>
      <c r="CH20" s="139"/>
      <c r="CI20" s="139"/>
      <c r="CJ20" s="139"/>
      <c r="CK20" s="140"/>
      <c r="CL20" s="141"/>
      <c r="CM20" s="140"/>
      <c r="CN20" s="140"/>
      <c r="CO20" s="141"/>
      <c r="CP20" s="141"/>
      <c r="CQ20" s="141"/>
      <c r="CR20" s="141"/>
      <c r="CS20" s="141"/>
      <c r="CT20" s="139"/>
      <c r="CU20" s="139"/>
      <c r="CV20" s="139"/>
      <c r="CW20" s="139"/>
      <c r="CX20" s="139"/>
      <c r="CY20" s="139"/>
      <c r="CZ20" s="98"/>
      <c r="DA20" s="139"/>
      <c r="DB20" s="142"/>
      <c r="DC20" s="142"/>
      <c r="DD20" s="142"/>
      <c r="DE20" s="143"/>
      <c r="DF20" s="142"/>
    </row>
    <row r="21" spans="1:118" s="83" customFormat="1" ht="12" customHeight="1">
      <c r="A21" s="65" t="s">
        <v>23</v>
      </c>
      <c r="B21" s="66"/>
      <c r="C21" s="67"/>
      <c r="D21" s="67"/>
      <c r="E21" s="67"/>
      <c r="F21" s="68"/>
      <c r="G21" s="68"/>
      <c r="H21" s="69"/>
      <c r="I21" s="69"/>
      <c r="J21" s="57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1"/>
      <c r="V21" s="71"/>
      <c r="W21" s="54"/>
      <c r="X21" s="54"/>
      <c r="Y21" s="54"/>
      <c r="Z21" s="54"/>
      <c r="AA21" s="57"/>
      <c r="AB21" s="57"/>
      <c r="AC21" s="57"/>
      <c r="AD21" s="72"/>
      <c r="AE21" s="72"/>
      <c r="AF21" s="74"/>
      <c r="AG21" s="74"/>
      <c r="AH21" s="57"/>
      <c r="AI21" s="57"/>
      <c r="AJ21" s="57"/>
      <c r="AK21" s="74"/>
      <c r="AL21" s="74"/>
      <c r="AM21" s="54"/>
      <c r="AN21" s="54"/>
      <c r="AO21" s="54"/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2"/>
      <c r="BF21" s="72"/>
      <c r="BG21" s="72"/>
      <c r="BH21" s="72"/>
      <c r="BI21" s="72"/>
      <c r="BJ21" s="72"/>
      <c r="BK21" s="73"/>
      <c r="BL21" s="73"/>
      <c r="BM21" s="73"/>
      <c r="BN21" s="72"/>
      <c r="BO21" s="72"/>
      <c r="BP21" s="72"/>
      <c r="BQ21" s="72"/>
      <c r="BR21" s="72"/>
      <c r="BS21" s="73"/>
      <c r="BT21" s="73"/>
      <c r="BU21" s="73"/>
      <c r="BV21" s="73"/>
      <c r="BW21" s="73"/>
      <c r="BX21" s="75"/>
      <c r="BY21" s="57"/>
      <c r="BZ21" s="57"/>
      <c r="CA21" s="57"/>
      <c r="CB21" s="57"/>
      <c r="CC21" s="57"/>
      <c r="CD21" s="57"/>
      <c r="CE21" s="57"/>
      <c r="CF21" s="57"/>
      <c r="CG21" s="57"/>
      <c r="CH21" s="57"/>
      <c r="CI21" s="57"/>
      <c r="CJ21" s="57"/>
      <c r="CK21" s="73"/>
      <c r="CL21" s="106"/>
      <c r="CM21" s="73"/>
      <c r="CN21" s="73"/>
      <c r="CO21" s="76"/>
      <c r="CP21" s="76"/>
      <c r="CQ21" s="76"/>
      <c r="CR21" s="76"/>
      <c r="CS21" s="76"/>
      <c r="CT21" s="57"/>
      <c r="CU21" s="57"/>
      <c r="CV21" s="57"/>
      <c r="CW21" s="57"/>
      <c r="CX21" s="57"/>
      <c r="CY21" s="77"/>
      <c r="CZ21" s="72"/>
      <c r="DA21" s="78"/>
      <c r="DB21" s="79"/>
      <c r="DC21" s="79"/>
      <c r="DD21" s="79"/>
      <c r="DE21" s="81"/>
      <c r="DF21" s="82"/>
    </row>
    <row r="22" spans="1:118" s="83" customFormat="1" ht="12" customHeight="1">
      <c r="A22" s="48" t="s">
        <v>84</v>
      </c>
      <c r="B22" s="84"/>
      <c r="C22" s="145"/>
      <c r="D22" s="145"/>
      <c r="E22" s="145"/>
      <c r="F22" s="86"/>
      <c r="G22" s="86"/>
      <c r="H22" s="87"/>
      <c r="I22" s="87"/>
      <c r="J22" s="89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1"/>
      <c r="V22" s="91"/>
      <c r="W22" s="98"/>
      <c r="X22" s="98"/>
      <c r="Y22" s="98"/>
      <c r="Z22" s="98"/>
      <c r="AA22" s="89"/>
      <c r="AB22" s="89"/>
      <c r="AC22" s="89"/>
      <c r="AD22" s="94"/>
      <c r="AE22" s="94"/>
      <c r="AF22" s="74"/>
      <c r="AG22" s="74"/>
      <c r="AH22" s="89"/>
      <c r="AI22" s="89"/>
      <c r="AJ22" s="89"/>
      <c r="AK22" s="74"/>
      <c r="AL22" s="74"/>
      <c r="AM22" s="98"/>
      <c r="AN22" s="98"/>
      <c r="AO22" s="98"/>
      <c r="AP22" s="97"/>
      <c r="AQ22" s="97"/>
      <c r="AR22" s="97"/>
      <c r="AS22" s="97"/>
      <c r="AT22" s="97"/>
      <c r="AU22" s="97"/>
      <c r="AV22" s="97"/>
      <c r="AW22" s="98"/>
      <c r="AX22" s="97"/>
      <c r="AY22" s="97"/>
      <c r="AZ22" s="97"/>
      <c r="BA22" s="97"/>
      <c r="BB22" s="97"/>
      <c r="BC22" s="97"/>
      <c r="BD22" s="97"/>
      <c r="BE22" s="98"/>
      <c r="BF22" s="98"/>
      <c r="BG22" s="98"/>
      <c r="BH22" s="98"/>
      <c r="BI22" s="98"/>
      <c r="BJ22" s="98"/>
      <c r="BK22" s="76"/>
      <c r="BL22" s="76"/>
      <c r="BM22" s="76"/>
      <c r="BN22" s="98"/>
      <c r="BO22" s="98"/>
      <c r="BP22" s="98"/>
      <c r="BQ22" s="98"/>
      <c r="BR22" s="98"/>
      <c r="BS22" s="76"/>
      <c r="BT22" s="76"/>
      <c r="BU22" s="76"/>
      <c r="BV22" s="76"/>
      <c r="BW22" s="76"/>
      <c r="BX22" s="80"/>
      <c r="BY22" s="89"/>
      <c r="BZ22" s="89"/>
      <c r="CA22" s="89"/>
      <c r="CB22" s="89"/>
      <c r="CC22" s="89"/>
      <c r="CD22" s="89"/>
      <c r="CE22" s="89"/>
      <c r="CF22" s="89"/>
      <c r="CG22" s="89"/>
      <c r="CH22" s="89"/>
      <c r="CI22" s="89"/>
      <c r="CJ22" s="89"/>
      <c r="CK22" s="76"/>
      <c r="CL22" s="106"/>
      <c r="CM22" s="76"/>
      <c r="CN22" s="76"/>
      <c r="CO22" s="76"/>
      <c r="CP22" s="76"/>
      <c r="CQ22" s="76"/>
      <c r="CR22" s="76"/>
      <c r="CS22" s="76"/>
      <c r="CT22" s="89"/>
      <c r="CU22" s="89"/>
      <c r="CV22" s="89"/>
      <c r="CW22" s="89"/>
      <c r="CX22" s="89"/>
      <c r="CY22" s="96"/>
      <c r="CZ22" s="98"/>
      <c r="DA22" s="79"/>
      <c r="DB22" s="79"/>
      <c r="DC22" s="79"/>
      <c r="DD22" s="79"/>
      <c r="DE22" s="81"/>
      <c r="DF22" s="82"/>
    </row>
    <row r="23" spans="1:118" s="83" customFormat="1" ht="12" customHeight="1">
      <c r="A23" s="108" t="s">
        <v>60</v>
      </c>
      <c r="B23" s="84"/>
      <c r="C23" s="145"/>
      <c r="D23" s="145"/>
      <c r="E23" s="145"/>
      <c r="F23" s="86"/>
      <c r="G23" s="86"/>
      <c r="H23" s="87"/>
      <c r="I23" s="87"/>
      <c r="J23" s="89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1"/>
      <c r="V23" s="91"/>
      <c r="W23" s="98"/>
      <c r="X23" s="98"/>
      <c r="Y23" s="98"/>
      <c r="Z23" s="98"/>
      <c r="AA23" s="89"/>
      <c r="AB23" s="89"/>
      <c r="AC23" s="89"/>
      <c r="AD23" s="94"/>
      <c r="AE23" s="94"/>
      <c r="AF23" s="74"/>
      <c r="AG23" s="74"/>
      <c r="AH23" s="89"/>
      <c r="AI23" s="89"/>
      <c r="AJ23" s="89"/>
      <c r="AK23" s="74"/>
      <c r="AL23" s="74"/>
      <c r="AM23" s="98"/>
      <c r="AN23" s="98"/>
      <c r="AO23" s="98"/>
      <c r="AP23" s="97"/>
      <c r="AQ23" s="97"/>
      <c r="AR23" s="97"/>
      <c r="AS23" s="97"/>
      <c r="AT23" s="97"/>
      <c r="AU23" s="97"/>
      <c r="AV23" s="97"/>
      <c r="AW23" s="97"/>
      <c r="AX23" s="97"/>
      <c r="AY23" s="97"/>
      <c r="AZ23" s="97"/>
      <c r="BA23" s="97"/>
      <c r="BB23" s="97"/>
      <c r="BC23" s="97"/>
      <c r="BD23" s="97"/>
      <c r="BE23" s="97"/>
      <c r="BF23" s="97"/>
      <c r="BG23" s="97"/>
      <c r="BH23" s="97"/>
      <c r="BI23" s="97"/>
      <c r="BJ23" s="97"/>
      <c r="BK23" s="76"/>
      <c r="BL23" s="76"/>
      <c r="BM23" s="76"/>
      <c r="BN23" s="97"/>
      <c r="BO23" s="97"/>
      <c r="BP23" s="97"/>
      <c r="BQ23" s="97"/>
      <c r="BR23" s="97"/>
      <c r="BS23" s="76"/>
      <c r="BT23" s="76"/>
      <c r="BU23" s="76"/>
      <c r="BV23" s="76"/>
      <c r="BW23" s="76"/>
      <c r="BX23" s="80"/>
      <c r="BY23" s="89"/>
      <c r="BZ23" s="89"/>
      <c r="CA23" s="89"/>
      <c r="CB23" s="89"/>
      <c r="CC23" s="89"/>
      <c r="CD23" s="89"/>
      <c r="CE23" s="89"/>
      <c r="CF23" s="89"/>
      <c r="CG23" s="89"/>
      <c r="CH23" s="89"/>
      <c r="CI23" s="89"/>
      <c r="CJ23" s="89"/>
      <c r="CK23" s="76"/>
      <c r="CL23" s="106"/>
      <c r="CM23" s="76"/>
      <c r="CN23" s="76"/>
      <c r="CO23" s="76"/>
      <c r="CP23" s="76"/>
      <c r="CQ23" s="76"/>
      <c r="CR23" s="76"/>
      <c r="CS23" s="76"/>
      <c r="CT23" s="89"/>
      <c r="CU23" s="89"/>
      <c r="CV23" s="89"/>
      <c r="CW23" s="89"/>
      <c r="CX23" s="89"/>
      <c r="CY23" s="96"/>
      <c r="CZ23" s="97"/>
      <c r="DA23" s="79"/>
      <c r="DB23" s="79"/>
      <c r="DC23" s="79"/>
      <c r="DD23" s="79"/>
      <c r="DE23" s="81"/>
      <c r="DF23" s="82"/>
    </row>
    <row r="24" spans="1:118" s="83" customFormat="1" ht="12" customHeight="1">
      <c r="A24" s="146" t="s">
        <v>30</v>
      </c>
      <c r="B24" s="147" t="s">
        <v>32</v>
      </c>
      <c r="C24" s="148" t="s">
        <v>33</v>
      </c>
      <c r="D24" s="86" t="s">
        <v>131</v>
      </c>
      <c r="E24" s="86" t="s">
        <v>130</v>
      </c>
      <c r="F24" s="86" t="s">
        <v>34</v>
      </c>
      <c r="G24" s="86" t="s">
        <v>129</v>
      </c>
      <c r="H24" s="101" t="s">
        <v>35</v>
      </c>
      <c r="I24" s="102" t="s">
        <v>104</v>
      </c>
      <c r="J24" s="88" t="s">
        <v>101</v>
      </c>
      <c r="K24" s="90" t="s">
        <v>242</v>
      </c>
      <c r="L24" s="90" t="s">
        <v>243</v>
      </c>
      <c r="M24" s="90" t="s">
        <v>244</v>
      </c>
      <c r="N24" s="90" t="s">
        <v>193</v>
      </c>
      <c r="O24" s="90" t="s">
        <v>245</v>
      </c>
      <c r="P24" s="90" t="s">
        <v>246</v>
      </c>
      <c r="Q24" s="90" t="s">
        <v>247</v>
      </c>
      <c r="R24" s="90" t="s">
        <v>248</v>
      </c>
      <c r="S24" s="90" t="s">
        <v>249</v>
      </c>
      <c r="T24" s="90" t="s">
        <v>250</v>
      </c>
      <c r="U24" s="91" t="s">
        <v>251</v>
      </c>
      <c r="V24" s="91"/>
      <c r="W24" s="98" t="s">
        <v>67</v>
      </c>
      <c r="X24" s="98"/>
      <c r="Y24" s="98" t="s">
        <v>200</v>
      </c>
      <c r="Z24" s="98"/>
      <c r="AA24" s="74" t="s">
        <v>202</v>
      </c>
      <c r="AB24" s="74"/>
      <c r="AC24" s="74" t="s">
        <v>108</v>
      </c>
      <c r="AD24" s="94" t="s">
        <v>36</v>
      </c>
      <c r="AE24" s="94" t="s">
        <v>37</v>
      </c>
      <c r="AF24" s="74" t="s">
        <v>352</v>
      </c>
      <c r="AG24" s="74" t="s">
        <v>90</v>
      </c>
      <c r="AH24" s="74" t="s">
        <v>351</v>
      </c>
      <c r="AI24" s="74" t="s">
        <v>353</v>
      </c>
      <c r="AJ24" s="74" t="s">
        <v>203</v>
      </c>
      <c r="AK24" s="74" t="s">
        <v>91</v>
      </c>
      <c r="AL24" s="74" t="s">
        <v>92</v>
      </c>
      <c r="AM24" s="74" t="s">
        <v>204</v>
      </c>
      <c r="AN24" s="74" t="s">
        <v>100</v>
      </c>
      <c r="AO24" s="74" t="s">
        <v>205</v>
      </c>
      <c r="AP24" s="74" t="s">
        <v>207</v>
      </c>
      <c r="AQ24" s="74" t="s">
        <v>208</v>
      </c>
      <c r="AR24" s="74" t="s">
        <v>210</v>
      </c>
      <c r="AS24" s="74" t="s">
        <v>206</v>
      </c>
      <c r="AT24" s="74" t="s">
        <v>209</v>
      </c>
      <c r="AU24" s="74" t="s">
        <v>211</v>
      </c>
      <c r="AV24" s="74" t="s">
        <v>212</v>
      </c>
      <c r="AW24" s="74" t="s">
        <v>94</v>
      </c>
      <c r="AX24" s="74" t="s">
        <v>213</v>
      </c>
      <c r="AY24" s="74" t="s">
        <v>215</v>
      </c>
      <c r="AZ24" s="74" t="s">
        <v>218</v>
      </c>
      <c r="BA24" s="74" t="s">
        <v>214</v>
      </c>
      <c r="BB24" s="74" t="s">
        <v>216</v>
      </c>
      <c r="BC24" s="74" t="s">
        <v>219</v>
      </c>
      <c r="BD24" s="74" t="s">
        <v>217</v>
      </c>
      <c r="BE24" s="74" t="s">
        <v>220</v>
      </c>
      <c r="BF24" s="74" t="s">
        <v>221</v>
      </c>
      <c r="BG24" s="74" t="s">
        <v>222</v>
      </c>
      <c r="BH24" s="74" t="s">
        <v>223</v>
      </c>
      <c r="BI24" s="74" t="s">
        <v>224</v>
      </c>
      <c r="BJ24" s="74" t="s">
        <v>225</v>
      </c>
      <c r="BK24" s="74" t="s">
        <v>226</v>
      </c>
      <c r="BL24" s="74" t="s">
        <v>227</v>
      </c>
      <c r="BM24" s="74" t="s">
        <v>228</v>
      </c>
      <c r="BN24" s="74" t="s">
        <v>229</v>
      </c>
      <c r="BO24" s="74" t="s">
        <v>230</v>
      </c>
      <c r="BP24" s="74" t="s">
        <v>231</v>
      </c>
      <c r="BQ24" s="74" t="s">
        <v>232</v>
      </c>
      <c r="BR24" s="74" t="s">
        <v>233</v>
      </c>
      <c r="BS24" s="74" t="s">
        <v>234</v>
      </c>
      <c r="BT24" s="74" t="s">
        <v>235</v>
      </c>
      <c r="BU24" s="74" t="s">
        <v>236</v>
      </c>
      <c r="BV24" s="74" t="s">
        <v>237</v>
      </c>
      <c r="BW24" s="74" t="s">
        <v>238</v>
      </c>
      <c r="BX24" s="74" t="s">
        <v>38</v>
      </c>
      <c r="BY24" s="74" t="s">
        <v>58</v>
      </c>
      <c r="BZ24" s="74" t="s">
        <v>39</v>
      </c>
      <c r="CA24" s="74" t="s">
        <v>40</v>
      </c>
      <c r="CB24" s="74" t="s">
        <v>41</v>
      </c>
      <c r="CC24" s="74" t="s">
        <v>42</v>
      </c>
      <c r="CD24" s="74" t="s">
        <v>59</v>
      </c>
      <c r="CE24" s="74" t="s">
        <v>43</v>
      </c>
      <c r="CF24" s="74" t="s">
        <v>44</v>
      </c>
      <c r="CG24" s="74" t="s">
        <v>47</v>
      </c>
      <c r="CH24" s="74" t="s">
        <v>48</v>
      </c>
      <c r="CI24" s="74" t="s">
        <v>45</v>
      </c>
      <c r="CJ24" s="74" t="s">
        <v>46</v>
      </c>
      <c r="CK24" s="74" t="s">
        <v>345</v>
      </c>
      <c r="CL24" s="74" t="s">
        <v>347</v>
      </c>
      <c r="CM24" s="74" t="s">
        <v>346</v>
      </c>
      <c r="CN24" s="74" t="s">
        <v>348</v>
      </c>
      <c r="CO24" s="74" t="s">
        <v>349</v>
      </c>
      <c r="CP24" s="74" t="s">
        <v>239</v>
      </c>
      <c r="CQ24" s="74"/>
      <c r="CR24" s="74" t="s">
        <v>56</v>
      </c>
      <c r="CS24" s="74" t="s">
        <v>71</v>
      </c>
      <c r="CT24" s="74" t="s">
        <v>51</v>
      </c>
      <c r="CU24" s="74" t="s">
        <v>52</v>
      </c>
      <c r="CV24" s="74" t="s">
        <v>68</v>
      </c>
      <c r="CW24" s="74" t="s">
        <v>69</v>
      </c>
      <c r="CX24" s="74" t="s">
        <v>53</v>
      </c>
      <c r="CY24" s="74" t="s">
        <v>49</v>
      </c>
      <c r="CZ24" s="74" t="s">
        <v>240</v>
      </c>
      <c r="DA24" s="74" t="s">
        <v>96</v>
      </c>
      <c r="DB24" s="74" t="s">
        <v>256</v>
      </c>
      <c r="DC24" s="74" t="s">
        <v>257</v>
      </c>
      <c r="DD24" s="74" t="s">
        <v>97</v>
      </c>
      <c r="DE24" s="81" t="s">
        <v>54</v>
      </c>
      <c r="DF24" s="82" t="s">
        <v>55</v>
      </c>
    </row>
    <row r="25" spans="1:118" s="83" customFormat="1" ht="12" customHeight="1">
      <c r="A25" s="108" t="s">
        <v>28</v>
      </c>
      <c r="B25" s="109"/>
      <c r="C25" s="149"/>
      <c r="D25" s="149"/>
      <c r="E25" s="149"/>
      <c r="F25" s="111"/>
      <c r="G25" s="111"/>
      <c r="H25" s="112"/>
      <c r="I25" s="113"/>
      <c r="J25" s="114"/>
      <c r="K25" s="116"/>
      <c r="L25" s="116"/>
      <c r="M25" s="116"/>
      <c r="N25" s="116"/>
      <c r="O25" s="116"/>
      <c r="P25" s="116"/>
      <c r="Q25" s="116"/>
      <c r="R25" s="116"/>
      <c r="S25" s="116"/>
      <c r="T25" s="116"/>
      <c r="U25" s="117"/>
      <c r="V25" s="117"/>
      <c r="W25" s="206"/>
      <c r="X25" s="206"/>
      <c r="Y25" s="206"/>
      <c r="Z25" s="206"/>
      <c r="AA25" s="118"/>
      <c r="AB25" s="118"/>
      <c r="AC25" s="118"/>
      <c r="AD25" s="119"/>
      <c r="AE25" s="119"/>
      <c r="AF25" s="74"/>
      <c r="AG25" s="74"/>
      <c r="AH25" s="118"/>
      <c r="AI25" s="118"/>
      <c r="AJ25" s="118"/>
      <c r="AK25" s="74"/>
      <c r="AL25" s="74"/>
      <c r="AM25" s="206"/>
      <c r="AN25" s="206"/>
      <c r="AO25" s="206"/>
      <c r="AP25" s="97"/>
      <c r="AQ25" s="97"/>
      <c r="AR25" s="97"/>
      <c r="AS25" s="97"/>
      <c r="AT25" s="97"/>
      <c r="AU25" s="97"/>
      <c r="AV25" s="97"/>
      <c r="AW25" s="98"/>
      <c r="AX25" s="97"/>
      <c r="AY25" s="97"/>
      <c r="AZ25" s="97"/>
      <c r="BA25" s="97"/>
      <c r="BB25" s="97"/>
      <c r="BC25" s="97"/>
      <c r="BD25" s="97"/>
      <c r="BE25" s="98"/>
      <c r="BF25" s="98"/>
      <c r="BG25" s="98"/>
      <c r="BH25" s="98"/>
      <c r="BI25" s="98"/>
      <c r="BJ25" s="98"/>
      <c r="BK25" s="123"/>
      <c r="BL25" s="123"/>
      <c r="BM25" s="123"/>
      <c r="BN25" s="98"/>
      <c r="BO25" s="98"/>
      <c r="BP25" s="98"/>
      <c r="BQ25" s="98"/>
      <c r="BR25" s="98"/>
      <c r="BS25" s="123"/>
      <c r="BT25" s="123"/>
      <c r="BU25" s="123"/>
      <c r="BV25" s="123"/>
      <c r="BW25" s="123"/>
      <c r="BX25" s="122"/>
      <c r="BY25" s="115"/>
      <c r="BZ25" s="115"/>
      <c r="CA25" s="115"/>
      <c r="CB25" s="115"/>
      <c r="CC25" s="115"/>
      <c r="CD25" s="115"/>
      <c r="CE25" s="115"/>
      <c r="CF25" s="115"/>
      <c r="CG25" s="115"/>
      <c r="CH25" s="115"/>
      <c r="CI25" s="115"/>
      <c r="CJ25" s="115"/>
      <c r="CK25" s="123"/>
      <c r="CL25" s="124"/>
      <c r="CM25" s="123"/>
      <c r="CN25" s="123"/>
      <c r="CO25" s="123"/>
      <c r="CP25" s="123"/>
      <c r="CQ25" s="123"/>
      <c r="CR25" s="123"/>
      <c r="CS25" s="123"/>
      <c r="CT25" s="115"/>
      <c r="CU25" s="115"/>
      <c r="CV25" s="115"/>
      <c r="CW25" s="115"/>
      <c r="CX25" s="115"/>
      <c r="CY25" s="121"/>
      <c r="CZ25" s="98"/>
      <c r="DA25" s="125"/>
      <c r="DB25" s="125"/>
      <c r="DC25" s="125"/>
      <c r="DD25" s="125"/>
      <c r="DE25" s="126"/>
      <c r="DF25" s="127"/>
    </row>
    <row r="26" spans="1:118" s="83" customFormat="1" ht="12" customHeight="1">
      <c r="A26" s="108" t="s">
        <v>61</v>
      </c>
      <c r="B26" s="109"/>
      <c r="C26" s="149"/>
      <c r="D26" s="149"/>
      <c r="E26" s="149"/>
      <c r="F26" s="111"/>
      <c r="G26" s="111"/>
      <c r="H26" s="112"/>
      <c r="I26" s="113"/>
      <c r="J26" s="114"/>
      <c r="K26" s="116"/>
      <c r="L26" s="116"/>
      <c r="M26" s="116"/>
      <c r="N26" s="116"/>
      <c r="O26" s="116"/>
      <c r="P26" s="116"/>
      <c r="Q26" s="116"/>
      <c r="R26" s="116"/>
      <c r="S26" s="116"/>
      <c r="T26" s="116"/>
      <c r="U26" s="117"/>
      <c r="V26" s="117"/>
      <c r="W26" s="206"/>
      <c r="X26" s="206"/>
      <c r="Y26" s="206"/>
      <c r="Z26" s="206"/>
      <c r="AA26" s="118"/>
      <c r="AB26" s="118"/>
      <c r="AC26" s="118"/>
      <c r="AD26" s="119"/>
      <c r="AE26" s="119"/>
      <c r="AF26" s="74"/>
      <c r="AG26" s="74"/>
      <c r="AH26" s="118"/>
      <c r="AI26" s="118"/>
      <c r="AJ26" s="118"/>
      <c r="AK26" s="74"/>
      <c r="AL26" s="74"/>
      <c r="AM26" s="206"/>
      <c r="AN26" s="206"/>
      <c r="AO26" s="206"/>
      <c r="AP26" s="97"/>
      <c r="AQ26" s="97"/>
      <c r="AR26" s="97"/>
      <c r="AS26" s="97"/>
      <c r="AT26" s="97"/>
      <c r="AU26" s="97"/>
      <c r="AV26" s="97"/>
      <c r="AW26" s="98"/>
      <c r="AX26" s="97"/>
      <c r="AY26" s="97"/>
      <c r="AZ26" s="97"/>
      <c r="BA26" s="97"/>
      <c r="BB26" s="97"/>
      <c r="BC26" s="97"/>
      <c r="BD26" s="97"/>
      <c r="BE26" s="98"/>
      <c r="BF26" s="98"/>
      <c r="BG26" s="98"/>
      <c r="BH26" s="98"/>
      <c r="BI26" s="98"/>
      <c r="BJ26" s="98"/>
      <c r="BK26" s="123"/>
      <c r="BL26" s="123"/>
      <c r="BM26" s="123"/>
      <c r="BN26" s="98"/>
      <c r="BO26" s="98"/>
      <c r="BP26" s="98"/>
      <c r="BQ26" s="98"/>
      <c r="BR26" s="98"/>
      <c r="BS26" s="123"/>
      <c r="BT26" s="123"/>
      <c r="BU26" s="123"/>
      <c r="BV26" s="123"/>
      <c r="BW26" s="123"/>
      <c r="BX26" s="122"/>
      <c r="BY26" s="115"/>
      <c r="BZ26" s="115"/>
      <c r="CA26" s="115"/>
      <c r="CB26" s="115"/>
      <c r="CC26" s="115"/>
      <c r="CD26" s="115"/>
      <c r="CE26" s="115"/>
      <c r="CF26" s="115"/>
      <c r="CG26" s="115"/>
      <c r="CH26" s="115"/>
      <c r="CI26" s="115"/>
      <c r="CJ26" s="115"/>
      <c r="CK26" s="123"/>
      <c r="CL26" s="124"/>
      <c r="CM26" s="123"/>
      <c r="CN26" s="123"/>
      <c r="CO26" s="123"/>
      <c r="CP26" s="123"/>
      <c r="CQ26" s="123"/>
      <c r="CR26" s="123"/>
      <c r="CS26" s="123"/>
      <c r="CT26" s="115"/>
      <c r="CU26" s="115"/>
      <c r="CV26" s="115"/>
      <c r="CW26" s="115"/>
      <c r="CX26" s="115"/>
      <c r="CY26" s="121"/>
      <c r="CZ26" s="98"/>
      <c r="DA26" s="125"/>
      <c r="DB26" s="125"/>
      <c r="DC26" s="125"/>
      <c r="DD26" s="125"/>
      <c r="DE26" s="126"/>
      <c r="DF26" s="127"/>
    </row>
    <row r="27" spans="1:118" s="134" customFormat="1" ht="12" customHeight="1" thickBot="1">
      <c r="A27" s="250" t="s">
        <v>22</v>
      </c>
      <c r="B27" s="251"/>
      <c r="C27" s="252"/>
      <c r="D27" s="202"/>
      <c r="E27" s="202"/>
      <c r="F27" s="128"/>
      <c r="G27" s="128"/>
      <c r="H27" s="129"/>
      <c r="I27" s="129"/>
      <c r="J27" s="130" t="s">
        <v>101</v>
      </c>
      <c r="K27" s="130" t="s">
        <v>242</v>
      </c>
      <c r="L27" s="130" t="s">
        <v>243</v>
      </c>
      <c r="M27" s="130" t="s">
        <v>244</v>
      </c>
      <c r="N27" s="130" t="s">
        <v>193</v>
      </c>
      <c r="O27" s="130" t="s">
        <v>245</v>
      </c>
      <c r="P27" s="130" t="s">
        <v>246</v>
      </c>
      <c r="Q27" s="130" t="s">
        <v>247</v>
      </c>
      <c r="R27" s="130" t="s">
        <v>248</v>
      </c>
      <c r="S27" s="130" t="s">
        <v>249</v>
      </c>
      <c r="T27" s="132" t="s">
        <v>250</v>
      </c>
      <c r="U27" s="130" t="s">
        <v>251</v>
      </c>
      <c r="V27" s="130"/>
      <c r="W27" s="130" t="s">
        <v>198</v>
      </c>
      <c r="X27" s="130"/>
      <c r="Y27" s="130" t="s">
        <v>200</v>
      </c>
      <c r="Z27" s="130"/>
      <c r="AA27" s="132" t="s">
        <v>202</v>
      </c>
      <c r="AB27" s="130"/>
      <c r="AC27" s="130" t="s">
        <v>108</v>
      </c>
      <c r="AD27" s="130" t="s">
        <v>36</v>
      </c>
      <c r="AE27" s="130" t="s">
        <v>37</v>
      </c>
      <c r="AF27" s="131" t="s">
        <v>352</v>
      </c>
      <c r="AG27" s="131" t="s">
        <v>90</v>
      </c>
      <c r="AH27" s="224" t="s">
        <v>351</v>
      </c>
      <c r="AI27" s="224" t="s">
        <v>353</v>
      </c>
      <c r="AJ27" s="130" t="s">
        <v>203</v>
      </c>
      <c r="AK27" s="130" t="s">
        <v>91</v>
      </c>
      <c r="AL27" s="130" t="s">
        <v>92</v>
      </c>
      <c r="AM27" s="130" t="s">
        <v>204</v>
      </c>
      <c r="AN27" s="130" t="s">
        <v>100</v>
      </c>
      <c r="AO27" s="130" t="s">
        <v>205</v>
      </c>
      <c r="AP27" s="130" t="s">
        <v>207</v>
      </c>
      <c r="AQ27" s="130" t="s">
        <v>208</v>
      </c>
      <c r="AR27" s="130" t="s">
        <v>210</v>
      </c>
      <c r="AS27" s="130" t="s">
        <v>206</v>
      </c>
      <c r="AT27" s="130" t="s">
        <v>209</v>
      </c>
      <c r="AU27" s="130" t="s">
        <v>211</v>
      </c>
      <c r="AV27" s="130" t="s">
        <v>212</v>
      </c>
      <c r="AW27" s="130" t="s">
        <v>94</v>
      </c>
      <c r="AX27" s="130" t="s">
        <v>213</v>
      </c>
      <c r="AY27" s="130" t="s">
        <v>215</v>
      </c>
      <c r="AZ27" s="130" t="s">
        <v>218</v>
      </c>
      <c r="BA27" s="130" t="s">
        <v>214</v>
      </c>
      <c r="BB27" s="130" t="s">
        <v>216</v>
      </c>
      <c r="BC27" s="130" t="s">
        <v>219</v>
      </c>
      <c r="BD27" s="130" t="s">
        <v>217</v>
      </c>
      <c r="BE27" s="130" t="s">
        <v>220</v>
      </c>
      <c r="BF27" s="130" t="s">
        <v>221</v>
      </c>
      <c r="BG27" s="130" t="s">
        <v>222</v>
      </c>
      <c r="BH27" s="130" t="s">
        <v>223</v>
      </c>
      <c r="BI27" s="130" t="s">
        <v>224</v>
      </c>
      <c r="BJ27" s="130" t="s">
        <v>225</v>
      </c>
      <c r="BK27" s="130" t="s">
        <v>226</v>
      </c>
      <c r="BL27" s="130" t="s">
        <v>227</v>
      </c>
      <c r="BM27" s="130" t="s">
        <v>228</v>
      </c>
      <c r="BN27" s="130" t="s">
        <v>229</v>
      </c>
      <c r="BO27" s="130" t="s">
        <v>230</v>
      </c>
      <c r="BP27" s="130" t="s">
        <v>231</v>
      </c>
      <c r="BQ27" s="130" t="s">
        <v>232</v>
      </c>
      <c r="BR27" s="130" t="s">
        <v>233</v>
      </c>
      <c r="BS27" s="130" t="s">
        <v>234</v>
      </c>
      <c r="BT27" s="130" t="s">
        <v>235</v>
      </c>
      <c r="BU27" s="130" t="s">
        <v>236</v>
      </c>
      <c r="BV27" s="130" t="s">
        <v>237</v>
      </c>
      <c r="BW27" s="130" t="s">
        <v>238</v>
      </c>
      <c r="BX27" s="130" t="s">
        <v>38</v>
      </c>
      <c r="BY27" s="130" t="s">
        <v>58</v>
      </c>
      <c r="BZ27" s="130" t="s">
        <v>39</v>
      </c>
      <c r="CA27" s="130" t="s">
        <v>40</v>
      </c>
      <c r="CB27" s="130" t="s">
        <v>41</v>
      </c>
      <c r="CC27" s="130" t="s">
        <v>42</v>
      </c>
      <c r="CD27" s="130" t="s">
        <v>59</v>
      </c>
      <c r="CE27" s="130" t="s">
        <v>43</v>
      </c>
      <c r="CF27" s="130" t="s">
        <v>44</v>
      </c>
      <c r="CG27" s="130" t="s">
        <v>47</v>
      </c>
      <c r="CH27" s="130" t="s">
        <v>48</v>
      </c>
      <c r="CI27" s="130" t="s">
        <v>45</v>
      </c>
      <c r="CJ27" s="130" t="s">
        <v>46</v>
      </c>
      <c r="CK27" s="130" t="s">
        <v>345</v>
      </c>
      <c r="CL27" s="130" t="s">
        <v>347</v>
      </c>
      <c r="CM27" s="130" t="s">
        <v>346</v>
      </c>
      <c r="CN27" s="130" t="s">
        <v>348</v>
      </c>
      <c r="CO27" s="130" t="s">
        <v>349</v>
      </c>
      <c r="CP27" s="130" t="s">
        <v>239</v>
      </c>
      <c r="CQ27" s="130"/>
      <c r="CR27" s="130" t="s">
        <v>56</v>
      </c>
      <c r="CS27" s="130" t="s">
        <v>71</v>
      </c>
      <c r="CT27" s="130" t="s">
        <v>51</v>
      </c>
      <c r="CU27" s="130" t="s">
        <v>52</v>
      </c>
      <c r="CV27" s="130" t="s">
        <v>68</v>
      </c>
      <c r="CW27" s="130" t="s">
        <v>69</v>
      </c>
      <c r="CX27" s="130" t="s">
        <v>53</v>
      </c>
      <c r="CY27" s="130" t="s">
        <v>49</v>
      </c>
      <c r="CZ27" s="130" t="s">
        <v>240</v>
      </c>
      <c r="DA27" s="130" t="s">
        <v>96</v>
      </c>
      <c r="DB27" s="130" t="s">
        <v>256</v>
      </c>
      <c r="DC27" s="130" t="s">
        <v>257</v>
      </c>
      <c r="DD27" s="130" t="s">
        <v>97</v>
      </c>
      <c r="DE27" s="133"/>
      <c r="DF27" s="130"/>
    </row>
    <row r="28" spans="1:118" s="144" customFormat="1" ht="12" customHeight="1">
      <c r="A28" s="108" t="s">
        <v>28</v>
      </c>
      <c r="B28" s="150"/>
      <c r="C28" s="151"/>
      <c r="D28" s="151"/>
      <c r="E28" s="151"/>
      <c r="F28" s="152"/>
      <c r="G28" s="152"/>
      <c r="H28" s="153"/>
      <c r="I28" s="153"/>
      <c r="J28" s="142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8"/>
      <c r="X28" s="98"/>
      <c r="Y28" s="98"/>
      <c r="Z28" s="98"/>
      <c r="AA28" s="142"/>
      <c r="AB28" s="142"/>
      <c r="AC28" s="142"/>
      <c r="AD28" s="98"/>
      <c r="AE28" s="98"/>
      <c r="AF28" s="74"/>
      <c r="AG28" s="74"/>
      <c r="AH28" s="142"/>
      <c r="AI28" s="142"/>
      <c r="AJ28" s="142"/>
      <c r="AK28" s="74"/>
      <c r="AL28" s="74"/>
      <c r="AM28" s="98"/>
      <c r="AN28" s="98"/>
      <c r="AO28" s="98"/>
      <c r="AP28" s="97"/>
      <c r="AQ28" s="97"/>
      <c r="AR28" s="97"/>
      <c r="AS28" s="97"/>
      <c r="AT28" s="97"/>
      <c r="AU28" s="97"/>
      <c r="AV28" s="97"/>
      <c r="AW28" s="98"/>
      <c r="AX28" s="97"/>
      <c r="AY28" s="97"/>
      <c r="AZ28" s="97"/>
      <c r="BA28" s="97"/>
      <c r="BB28" s="97"/>
      <c r="BC28" s="97"/>
      <c r="BD28" s="97"/>
      <c r="BE28" s="98"/>
      <c r="BF28" s="98"/>
      <c r="BG28" s="98"/>
      <c r="BH28" s="98"/>
      <c r="BI28" s="98"/>
      <c r="BJ28" s="98"/>
      <c r="BK28" s="141"/>
      <c r="BL28" s="141"/>
      <c r="BM28" s="141"/>
      <c r="BN28" s="98"/>
      <c r="BO28" s="98"/>
      <c r="BP28" s="98"/>
      <c r="BQ28" s="98"/>
      <c r="BR28" s="98"/>
      <c r="BS28" s="141"/>
      <c r="BT28" s="141"/>
      <c r="BU28" s="141"/>
      <c r="BV28" s="141"/>
      <c r="BW28" s="141"/>
      <c r="BX28" s="142"/>
      <c r="BY28" s="142"/>
      <c r="BZ28" s="142"/>
      <c r="CA28" s="142"/>
      <c r="CB28" s="142"/>
      <c r="CC28" s="142"/>
      <c r="CD28" s="142"/>
      <c r="CE28" s="142"/>
      <c r="CF28" s="142"/>
      <c r="CG28" s="142"/>
      <c r="CH28" s="142"/>
      <c r="CI28" s="142"/>
      <c r="CJ28" s="142"/>
      <c r="CK28" s="141"/>
      <c r="CL28" s="141"/>
      <c r="CM28" s="141"/>
      <c r="CN28" s="141"/>
      <c r="CO28" s="141"/>
      <c r="CP28" s="141"/>
      <c r="CQ28" s="141"/>
      <c r="CR28" s="141"/>
      <c r="CS28" s="141"/>
      <c r="CT28" s="142"/>
      <c r="CU28" s="142"/>
      <c r="CV28" s="142"/>
      <c r="CW28" s="142"/>
      <c r="CX28" s="142"/>
      <c r="CY28" s="142"/>
      <c r="CZ28" s="98"/>
      <c r="DA28" s="142"/>
      <c r="DB28" s="142"/>
      <c r="DC28" s="142"/>
      <c r="DD28" s="142"/>
      <c r="DE28" s="143"/>
      <c r="DF28" s="142"/>
    </row>
    <row r="29" spans="1:118" s="144" customFormat="1" ht="12" customHeight="1">
      <c r="A29" s="48" t="s">
        <v>86</v>
      </c>
      <c r="B29" s="150"/>
      <c r="C29" s="151"/>
      <c r="D29" s="151"/>
      <c r="E29" s="151"/>
      <c r="F29" s="152"/>
      <c r="G29" s="152"/>
      <c r="H29" s="153"/>
      <c r="I29" s="153"/>
      <c r="J29" s="142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8"/>
      <c r="X29" s="98"/>
      <c r="Y29" s="98"/>
      <c r="Z29" s="98"/>
      <c r="AA29" s="142"/>
      <c r="AB29" s="142"/>
      <c r="AC29" s="142"/>
      <c r="AD29" s="94"/>
      <c r="AE29" s="94"/>
      <c r="AF29" s="74"/>
      <c r="AG29" s="74"/>
      <c r="AH29" s="142"/>
      <c r="AI29" s="142"/>
      <c r="AJ29" s="142"/>
      <c r="AK29" s="74"/>
      <c r="AL29" s="74"/>
      <c r="AM29" s="98"/>
      <c r="AN29" s="98"/>
      <c r="AO29" s="98"/>
      <c r="AP29" s="97"/>
      <c r="AQ29" s="97"/>
      <c r="AR29" s="97"/>
      <c r="AS29" s="97"/>
      <c r="AT29" s="97"/>
      <c r="AU29" s="97"/>
      <c r="AV29" s="97"/>
      <c r="AW29" s="98"/>
      <c r="AX29" s="97"/>
      <c r="AY29" s="97"/>
      <c r="AZ29" s="97"/>
      <c r="BA29" s="97"/>
      <c r="BB29" s="97"/>
      <c r="BC29" s="97"/>
      <c r="BD29" s="97"/>
      <c r="BE29" s="98"/>
      <c r="BF29" s="98"/>
      <c r="BG29" s="98"/>
      <c r="BH29" s="98"/>
      <c r="BI29" s="98"/>
      <c r="BJ29" s="98"/>
      <c r="BK29" s="141"/>
      <c r="BL29" s="141"/>
      <c r="BM29" s="141"/>
      <c r="BN29" s="98"/>
      <c r="BO29" s="98"/>
      <c r="BP29" s="98"/>
      <c r="BQ29" s="98"/>
      <c r="BR29" s="98"/>
      <c r="BS29" s="141"/>
      <c r="BT29" s="141"/>
      <c r="BU29" s="141"/>
      <c r="BV29" s="141"/>
      <c r="BW29" s="141"/>
      <c r="BX29" s="142"/>
      <c r="BY29" s="142"/>
      <c r="BZ29" s="142"/>
      <c r="CA29" s="142"/>
      <c r="CB29" s="142"/>
      <c r="CC29" s="142"/>
      <c r="CD29" s="142"/>
      <c r="CE29" s="142"/>
      <c r="CF29" s="142"/>
      <c r="CG29" s="142"/>
      <c r="CH29" s="142"/>
      <c r="CI29" s="142"/>
      <c r="CJ29" s="142"/>
      <c r="CK29" s="141"/>
      <c r="CL29" s="141"/>
      <c r="CM29" s="141"/>
      <c r="CN29" s="141"/>
      <c r="CO29" s="141"/>
      <c r="CP29" s="141"/>
      <c r="CQ29" s="141"/>
      <c r="CR29" s="141"/>
      <c r="CS29" s="141"/>
      <c r="CT29" s="142"/>
      <c r="CU29" s="142"/>
      <c r="CV29" s="142"/>
      <c r="CW29" s="142"/>
      <c r="CX29" s="142"/>
      <c r="CY29" s="142"/>
      <c r="CZ29" s="98"/>
      <c r="DA29" s="142"/>
      <c r="DB29" s="142"/>
      <c r="DC29" s="142"/>
      <c r="DD29" s="142"/>
      <c r="DE29" s="143"/>
      <c r="DF29" s="142"/>
    </row>
    <row r="30" spans="1:118" s="83" customFormat="1" ht="12" customHeight="1">
      <c r="A30" s="154" t="s">
        <v>24</v>
      </c>
      <c r="B30" s="84"/>
      <c r="C30" s="85"/>
      <c r="D30" s="85"/>
      <c r="E30" s="85"/>
      <c r="F30" s="86"/>
      <c r="G30" s="86"/>
      <c r="H30" s="87"/>
      <c r="I30" s="87"/>
      <c r="J30" s="155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1"/>
      <c r="V30" s="91"/>
      <c r="W30" s="98"/>
      <c r="X30" s="98"/>
      <c r="Y30" s="98"/>
      <c r="Z30" s="98"/>
      <c r="AA30" s="103"/>
      <c r="AB30" s="103"/>
      <c r="AC30" s="103"/>
      <c r="AD30" s="94"/>
      <c r="AE30" s="94"/>
      <c r="AF30" s="74"/>
      <c r="AG30" s="74"/>
      <c r="AH30" s="103"/>
      <c r="AI30" s="103"/>
      <c r="AJ30" s="103"/>
      <c r="AK30" s="74"/>
      <c r="AL30" s="74"/>
      <c r="AM30" s="98"/>
      <c r="AN30" s="98"/>
      <c r="AO30" s="98"/>
      <c r="AP30" s="97"/>
      <c r="AQ30" s="97"/>
      <c r="AR30" s="97"/>
      <c r="AS30" s="97"/>
      <c r="AT30" s="97"/>
      <c r="AU30" s="97"/>
      <c r="AV30" s="97"/>
      <c r="AW30" s="98"/>
      <c r="AX30" s="97"/>
      <c r="AY30" s="97"/>
      <c r="AZ30" s="97"/>
      <c r="BA30" s="97"/>
      <c r="BB30" s="97"/>
      <c r="BC30" s="97"/>
      <c r="BD30" s="97"/>
      <c r="BE30" s="98"/>
      <c r="BF30" s="98"/>
      <c r="BG30" s="98"/>
      <c r="BH30" s="98"/>
      <c r="BI30" s="98"/>
      <c r="BJ30" s="98"/>
      <c r="BK30" s="76"/>
      <c r="BL30" s="76"/>
      <c r="BM30" s="76"/>
      <c r="BN30" s="98"/>
      <c r="BO30" s="98"/>
      <c r="BP30" s="98"/>
      <c r="BQ30" s="98"/>
      <c r="BR30" s="98"/>
      <c r="BS30" s="76"/>
      <c r="BT30" s="76"/>
      <c r="BU30" s="76"/>
      <c r="BV30" s="76"/>
      <c r="BW30" s="76"/>
      <c r="BX30" s="80"/>
      <c r="BY30" s="89"/>
      <c r="BZ30" s="89"/>
      <c r="CA30" s="89"/>
      <c r="CB30" s="89"/>
      <c r="CC30" s="89"/>
      <c r="CD30" s="89">
        <f>IF(J30+O30+P30&gt;$CD$6*20,$CD$6*20,J30+O30+P30)</f>
        <v>0</v>
      </c>
      <c r="CE30" s="89">
        <f t="shared" ref="CE30:CF30" si="0">ROUND($CD30*CE$9,)</f>
        <v>0</v>
      </c>
      <c r="CF30" s="89">
        <f t="shared" si="0"/>
        <v>0</v>
      </c>
      <c r="CG30" s="89"/>
      <c r="CH30" s="89"/>
      <c r="CI30" s="89"/>
      <c r="CJ30" s="89"/>
      <c r="CK30" s="76"/>
      <c r="CL30" s="76"/>
      <c r="CM30" s="76"/>
      <c r="CN30" s="76"/>
      <c r="CO30" s="76"/>
      <c r="CP30" s="76"/>
      <c r="CQ30" s="76"/>
      <c r="CR30" s="76"/>
      <c r="CS30" s="76"/>
      <c r="CT30" s="89"/>
      <c r="CU30" s="89"/>
      <c r="CV30" s="89"/>
      <c r="CW30" s="89"/>
      <c r="CX30" s="89"/>
      <c r="CY30" s="96"/>
      <c r="CZ30" s="98"/>
      <c r="DA30" s="79"/>
      <c r="DB30" s="79"/>
      <c r="DC30" s="79"/>
      <c r="DD30" s="79"/>
      <c r="DE30" s="81"/>
      <c r="DF30" s="82"/>
    </row>
    <row r="31" spans="1:118" s="83" customFormat="1" ht="12" customHeight="1">
      <c r="A31" s="48" t="s">
        <v>84</v>
      </c>
      <c r="B31" s="84"/>
      <c r="C31" s="85"/>
      <c r="D31" s="85"/>
      <c r="E31" s="85"/>
      <c r="F31" s="86"/>
      <c r="G31" s="86"/>
      <c r="H31" s="87"/>
      <c r="I31" s="87"/>
      <c r="J31" s="155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1"/>
      <c r="V31" s="91"/>
      <c r="W31" s="98"/>
      <c r="X31" s="98"/>
      <c r="Y31" s="98"/>
      <c r="Z31" s="98"/>
      <c r="AA31" s="103"/>
      <c r="AB31" s="103"/>
      <c r="AC31" s="103"/>
      <c r="AD31" s="94"/>
      <c r="AE31" s="94"/>
      <c r="AF31" s="74"/>
      <c r="AG31" s="74"/>
      <c r="AH31" s="103"/>
      <c r="AI31" s="103"/>
      <c r="AJ31" s="103"/>
      <c r="AK31" s="74"/>
      <c r="AL31" s="74"/>
      <c r="AM31" s="98"/>
      <c r="AN31" s="98"/>
      <c r="AO31" s="98"/>
      <c r="AP31" s="97"/>
      <c r="AQ31" s="97"/>
      <c r="AR31" s="97"/>
      <c r="AS31" s="97"/>
      <c r="AT31" s="97"/>
      <c r="AU31" s="97"/>
      <c r="AV31" s="97"/>
      <c r="AW31" s="98"/>
      <c r="AX31" s="97"/>
      <c r="AY31" s="97"/>
      <c r="AZ31" s="97"/>
      <c r="BA31" s="97"/>
      <c r="BB31" s="97"/>
      <c r="BC31" s="97"/>
      <c r="BD31" s="97"/>
      <c r="BE31" s="98"/>
      <c r="BF31" s="98"/>
      <c r="BG31" s="98"/>
      <c r="BH31" s="98"/>
      <c r="BI31" s="98"/>
      <c r="BJ31" s="98"/>
      <c r="BK31" s="76"/>
      <c r="BL31" s="76"/>
      <c r="BM31" s="76"/>
      <c r="BN31" s="98"/>
      <c r="BO31" s="98"/>
      <c r="BP31" s="98"/>
      <c r="BQ31" s="98"/>
      <c r="BR31" s="98"/>
      <c r="BS31" s="76"/>
      <c r="BT31" s="76"/>
      <c r="BU31" s="76"/>
      <c r="BV31" s="76"/>
      <c r="BW31" s="76"/>
      <c r="BX31" s="80"/>
      <c r="BY31" s="89"/>
      <c r="BZ31" s="89"/>
      <c r="CA31" s="89"/>
      <c r="CB31" s="89"/>
      <c r="CC31" s="89"/>
      <c r="CD31" s="89"/>
      <c r="CE31" s="89"/>
      <c r="CF31" s="89"/>
      <c r="CG31" s="89"/>
      <c r="CH31" s="89"/>
      <c r="CI31" s="89"/>
      <c r="CJ31" s="89"/>
      <c r="CK31" s="76"/>
      <c r="CL31" s="76"/>
      <c r="CM31" s="76"/>
      <c r="CN31" s="76"/>
      <c r="CO31" s="76"/>
      <c r="CP31" s="76"/>
      <c r="CQ31" s="76"/>
      <c r="CR31" s="76"/>
      <c r="CS31" s="76"/>
      <c r="CT31" s="89"/>
      <c r="CU31" s="89"/>
      <c r="CV31" s="89"/>
      <c r="CW31" s="89"/>
      <c r="CX31" s="89"/>
      <c r="CY31" s="96"/>
      <c r="CZ31" s="98"/>
      <c r="DA31" s="79"/>
      <c r="DB31" s="79"/>
      <c r="DC31" s="79"/>
      <c r="DD31" s="79"/>
      <c r="DE31" s="81"/>
      <c r="DF31" s="82"/>
    </row>
    <row r="32" spans="1:118" s="83" customFormat="1" ht="12" customHeight="1">
      <c r="A32" s="108" t="s">
        <v>62</v>
      </c>
      <c r="B32" s="84"/>
      <c r="C32" s="85"/>
      <c r="D32" s="85"/>
      <c r="E32" s="85"/>
      <c r="F32" s="86"/>
      <c r="G32" s="86"/>
      <c r="H32" s="87"/>
      <c r="I32" s="87"/>
      <c r="J32" s="155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1"/>
      <c r="V32" s="91"/>
      <c r="W32" s="98"/>
      <c r="X32" s="98"/>
      <c r="Y32" s="98"/>
      <c r="Z32" s="98"/>
      <c r="AA32" s="103"/>
      <c r="AB32" s="103"/>
      <c r="AC32" s="103"/>
      <c r="AD32" s="94"/>
      <c r="AE32" s="94"/>
      <c r="AF32" s="74"/>
      <c r="AG32" s="74"/>
      <c r="AH32" s="103"/>
      <c r="AI32" s="103"/>
      <c r="AJ32" s="103"/>
      <c r="AK32" s="74"/>
      <c r="AL32" s="74"/>
      <c r="AM32" s="98"/>
      <c r="AN32" s="98"/>
      <c r="AO32" s="98"/>
      <c r="AP32" s="97"/>
      <c r="AQ32" s="97"/>
      <c r="AR32" s="97"/>
      <c r="AS32" s="97"/>
      <c r="AT32" s="97"/>
      <c r="AU32" s="97"/>
      <c r="AV32" s="97"/>
      <c r="AW32" s="98"/>
      <c r="AX32" s="97"/>
      <c r="AY32" s="97"/>
      <c r="AZ32" s="97"/>
      <c r="BA32" s="97"/>
      <c r="BB32" s="97"/>
      <c r="BC32" s="97"/>
      <c r="BD32" s="97"/>
      <c r="BE32" s="98"/>
      <c r="BF32" s="98"/>
      <c r="BG32" s="98"/>
      <c r="BH32" s="98"/>
      <c r="BI32" s="98"/>
      <c r="BJ32" s="98"/>
      <c r="BK32" s="76"/>
      <c r="BL32" s="76"/>
      <c r="BM32" s="76"/>
      <c r="BN32" s="98"/>
      <c r="BO32" s="98"/>
      <c r="BP32" s="98"/>
      <c r="BQ32" s="98"/>
      <c r="BR32" s="98"/>
      <c r="BS32" s="76"/>
      <c r="BT32" s="76"/>
      <c r="BU32" s="76"/>
      <c r="BV32" s="76"/>
      <c r="BW32" s="76"/>
      <c r="BX32" s="80"/>
      <c r="BY32" s="89"/>
      <c r="BZ32" s="89"/>
      <c r="CA32" s="89"/>
      <c r="CB32" s="89"/>
      <c r="CC32" s="89"/>
      <c r="CD32" s="89"/>
      <c r="CE32" s="89"/>
      <c r="CF32" s="89"/>
      <c r="CG32" s="89"/>
      <c r="CH32" s="89"/>
      <c r="CI32" s="89"/>
      <c r="CJ32" s="89"/>
      <c r="CK32" s="76"/>
      <c r="CL32" s="76"/>
      <c r="CM32" s="76"/>
      <c r="CN32" s="76"/>
      <c r="CO32" s="76"/>
      <c r="CP32" s="76"/>
      <c r="CQ32" s="76"/>
      <c r="CR32" s="76"/>
      <c r="CS32" s="76"/>
      <c r="CT32" s="89"/>
      <c r="CU32" s="89"/>
      <c r="CV32" s="89"/>
      <c r="CW32" s="89"/>
      <c r="CX32" s="89"/>
      <c r="CY32" s="96"/>
      <c r="CZ32" s="98"/>
      <c r="DA32" s="79"/>
      <c r="DB32" s="79"/>
      <c r="DC32" s="79"/>
      <c r="DD32" s="79"/>
      <c r="DE32" s="81"/>
      <c r="DF32" s="82"/>
    </row>
    <row r="33" spans="1:118" s="83" customFormat="1" ht="12" customHeight="1">
      <c r="A33" s="146" t="s">
        <v>30</v>
      </c>
      <c r="B33" s="100" t="s">
        <v>32</v>
      </c>
      <c r="C33" s="86" t="s">
        <v>33</v>
      </c>
      <c r="D33" s="86" t="s">
        <v>131</v>
      </c>
      <c r="E33" s="86" t="s">
        <v>130</v>
      </c>
      <c r="F33" s="86" t="s">
        <v>34</v>
      </c>
      <c r="G33" s="86" t="s">
        <v>129</v>
      </c>
      <c r="H33" s="156" t="s">
        <v>35</v>
      </c>
      <c r="I33" s="102" t="s">
        <v>104</v>
      </c>
      <c r="J33" s="105" t="s">
        <v>101</v>
      </c>
      <c r="K33" s="90" t="s">
        <v>242</v>
      </c>
      <c r="L33" s="90" t="s">
        <v>243</v>
      </c>
      <c r="M33" s="90" t="s">
        <v>244</v>
      </c>
      <c r="N33" s="90" t="s">
        <v>193</v>
      </c>
      <c r="O33" s="90" t="s">
        <v>245</v>
      </c>
      <c r="P33" s="90" t="s">
        <v>246</v>
      </c>
      <c r="Q33" s="90" t="s">
        <v>247</v>
      </c>
      <c r="R33" s="90" t="s">
        <v>248</v>
      </c>
      <c r="S33" s="90" t="s">
        <v>249</v>
      </c>
      <c r="T33" s="90" t="s">
        <v>250</v>
      </c>
      <c r="U33" s="91" t="s">
        <v>251</v>
      </c>
      <c r="V33" s="91"/>
      <c r="W33" s="98" t="s">
        <v>67</v>
      </c>
      <c r="X33" s="98"/>
      <c r="Y33" s="98" t="s">
        <v>200</v>
      </c>
      <c r="Z33" s="98"/>
      <c r="AA33" s="74" t="s">
        <v>202</v>
      </c>
      <c r="AB33" s="74"/>
      <c r="AC33" s="74" t="s">
        <v>108</v>
      </c>
      <c r="AD33" s="94" t="s">
        <v>36</v>
      </c>
      <c r="AE33" s="94" t="s">
        <v>37</v>
      </c>
      <c r="AF33" s="74" t="s">
        <v>352</v>
      </c>
      <c r="AG33" s="74" t="s">
        <v>90</v>
      </c>
      <c r="AH33" s="74" t="s">
        <v>351</v>
      </c>
      <c r="AI33" s="74" t="s">
        <v>353</v>
      </c>
      <c r="AJ33" s="74" t="s">
        <v>203</v>
      </c>
      <c r="AK33" s="74" t="s">
        <v>91</v>
      </c>
      <c r="AL33" s="74" t="s">
        <v>92</v>
      </c>
      <c r="AM33" s="74" t="s">
        <v>204</v>
      </c>
      <c r="AN33" s="74" t="s">
        <v>100</v>
      </c>
      <c r="AO33" s="74" t="s">
        <v>205</v>
      </c>
      <c r="AP33" s="74" t="s">
        <v>207</v>
      </c>
      <c r="AQ33" s="74" t="s">
        <v>208</v>
      </c>
      <c r="AR33" s="74" t="s">
        <v>210</v>
      </c>
      <c r="AS33" s="74" t="s">
        <v>206</v>
      </c>
      <c r="AT33" s="74" t="s">
        <v>209</v>
      </c>
      <c r="AU33" s="74" t="s">
        <v>211</v>
      </c>
      <c r="AV33" s="74" t="s">
        <v>212</v>
      </c>
      <c r="AW33" s="74" t="s">
        <v>94</v>
      </c>
      <c r="AX33" s="74" t="s">
        <v>213</v>
      </c>
      <c r="AY33" s="74" t="s">
        <v>215</v>
      </c>
      <c r="AZ33" s="74" t="s">
        <v>218</v>
      </c>
      <c r="BA33" s="74" t="s">
        <v>214</v>
      </c>
      <c r="BB33" s="74" t="s">
        <v>216</v>
      </c>
      <c r="BC33" s="74" t="s">
        <v>219</v>
      </c>
      <c r="BD33" s="74" t="s">
        <v>217</v>
      </c>
      <c r="BE33" s="74" t="s">
        <v>220</v>
      </c>
      <c r="BF33" s="74" t="s">
        <v>221</v>
      </c>
      <c r="BG33" s="74" t="s">
        <v>222</v>
      </c>
      <c r="BH33" s="74" t="s">
        <v>223</v>
      </c>
      <c r="BI33" s="74" t="s">
        <v>224</v>
      </c>
      <c r="BJ33" s="74" t="s">
        <v>225</v>
      </c>
      <c r="BK33" s="74" t="s">
        <v>226</v>
      </c>
      <c r="BL33" s="74" t="s">
        <v>227</v>
      </c>
      <c r="BM33" s="74" t="s">
        <v>228</v>
      </c>
      <c r="BN33" s="74" t="s">
        <v>229</v>
      </c>
      <c r="BO33" s="74" t="s">
        <v>230</v>
      </c>
      <c r="BP33" s="74" t="s">
        <v>231</v>
      </c>
      <c r="BQ33" s="74" t="s">
        <v>232</v>
      </c>
      <c r="BR33" s="74" t="s">
        <v>233</v>
      </c>
      <c r="BS33" s="74" t="s">
        <v>234</v>
      </c>
      <c r="BT33" s="74" t="s">
        <v>235</v>
      </c>
      <c r="BU33" s="74" t="s">
        <v>236</v>
      </c>
      <c r="BV33" s="74" t="s">
        <v>237</v>
      </c>
      <c r="BW33" s="74" t="s">
        <v>238</v>
      </c>
      <c r="BX33" s="74" t="s">
        <v>38</v>
      </c>
      <c r="BY33" s="74" t="s">
        <v>58</v>
      </c>
      <c r="BZ33" s="74" t="s">
        <v>39</v>
      </c>
      <c r="CA33" s="74" t="s">
        <v>40</v>
      </c>
      <c r="CB33" s="74" t="s">
        <v>41</v>
      </c>
      <c r="CC33" s="74" t="s">
        <v>42</v>
      </c>
      <c r="CD33" s="74" t="s">
        <v>59</v>
      </c>
      <c r="CE33" s="74" t="s">
        <v>43</v>
      </c>
      <c r="CF33" s="74" t="s">
        <v>44</v>
      </c>
      <c r="CG33" s="74" t="s">
        <v>47</v>
      </c>
      <c r="CH33" s="74" t="s">
        <v>48</v>
      </c>
      <c r="CI33" s="74" t="s">
        <v>45</v>
      </c>
      <c r="CJ33" s="74" t="s">
        <v>46</v>
      </c>
      <c r="CK33" s="74" t="s">
        <v>345</v>
      </c>
      <c r="CL33" s="74" t="s">
        <v>347</v>
      </c>
      <c r="CM33" s="74" t="s">
        <v>346</v>
      </c>
      <c r="CN33" s="74" t="s">
        <v>348</v>
      </c>
      <c r="CO33" s="74" t="s">
        <v>349</v>
      </c>
      <c r="CP33" s="74" t="s">
        <v>239</v>
      </c>
      <c r="CQ33" s="74"/>
      <c r="CR33" s="74" t="s">
        <v>56</v>
      </c>
      <c r="CS33" s="74" t="s">
        <v>71</v>
      </c>
      <c r="CT33" s="74" t="s">
        <v>51</v>
      </c>
      <c r="CU33" s="74" t="s">
        <v>52</v>
      </c>
      <c r="CV33" s="74" t="s">
        <v>68</v>
      </c>
      <c r="CW33" s="74" t="s">
        <v>69</v>
      </c>
      <c r="CX33" s="74" t="s">
        <v>53</v>
      </c>
      <c r="CY33" s="74" t="s">
        <v>49</v>
      </c>
      <c r="CZ33" s="74" t="s">
        <v>240</v>
      </c>
      <c r="DA33" s="74" t="s">
        <v>96</v>
      </c>
      <c r="DB33" s="74" t="s">
        <v>256</v>
      </c>
      <c r="DC33" s="74" t="s">
        <v>257</v>
      </c>
      <c r="DD33" s="74" t="s">
        <v>97</v>
      </c>
      <c r="DE33" s="81" t="s">
        <v>54</v>
      </c>
      <c r="DF33" s="82" t="s">
        <v>55</v>
      </c>
      <c r="DI33" s="107"/>
      <c r="DL33" s="107"/>
      <c r="DN33" s="107"/>
    </row>
    <row r="34" spans="1:118" s="83" customFormat="1" ht="12" customHeight="1">
      <c r="A34" s="108" t="s">
        <v>28</v>
      </c>
      <c r="B34" s="109"/>
      <c r="C34" s="110"/>
      <c r="D34" s="110"/>
      <c r="E34" s="110"/>
      <c r="F34" s="111"/>
      <c r="G34" s="111"/>
      <c r="H34" s="157"/>
      <c r="I34" s="113"/>
      <c r="J34" s="115"/>
      <c r="K34" s="116"/>
      <c r="L34" s="116"/>
      <c r="M34" s="116"/>
      <c r="N34" s="116"/>
      <c r="O34" s="116"/>
      <c r="P34" s="116"/>
      <c r="Q34" s="116"/>
      <c r="R34" s="116"/>
      <c r="S34" s="116"/>
      <c r="T34" s="116"/>
      <c r="U34" s="117"/>
      <c r="V34" s="117"/>
      <c r="W34" s="206"/>
      <c r="X34" s="206"/>
      <c r="Y34" s="206"/>
      <c r="Z34" s="206"/>
      <c r="AA34" s="118"/>
      <c r="AB34" s="118"/>
      <c r="AC34" s="118"/>
      <c r="AD34" s="119"/>
      <c r="AE34" s="119"/>
      <c r="AF34" s="74"/>
      <c r="AG34" s="74"/>
      <c r="AH34" s="118"/>
      <c r="AI34" s="118"/>
      <c r="AJ34" s="118"/>
      <c r="AK34" s="74"/>
      <c r="AL34" s="74"/>
      <c r="AM34" s="206"/>
      <c r="AN34" s="206"/>
      <c r="AO34" s="206"/>
      <c r="AP34" s="97"/>
      <c r="AQ34" s="97"/>
      <c r="AR34" s="97"/>
      <c r="AS34" s="97"/>
      <c r="AT34" s="97"/>
      <c r="AU34" s="97"/>
      <c r="AV34" s="97"/>
      <c r="AW34" s="98"/>
      <c r="AX34" s="97"/>
      <c r="AY34" s="97"/>
      <c r="AZ34" s="97"/>
      <c r="BA34" s="97"/>
      <c r="BB34" s="97"/>
      <c r="BC34" s="97"/>
      <c r="BD34" s="97"/>
      <c r="BE34" s="98"/>
      <c r="BF34" s="98"/>
      <c r="BG34" s="98"/>
      <c r="BH34" s="98"/>
      <c r="BI34" s="98"/>
      <c r="BJ34" s="98"/>
      <c r="BK34" s="120"/>
      <c r="BL34" s="120"/>
      <c r="BM34" s="120"/>
      <c r="BN34" s="98"/>
      <c r="BO34" s="98"/>
      <c r="BP34" s="98"/>
      <c r="BQ34" s="98"/>
      <c r="BR34" s="98"/>
      <c r="BS34" s="120"/>
      <c r="BT34" s="120"/>
      <c r="BU34" s="120"/>
      <c r="BV34" s="120"/>
      <c r="BW34" s="120"/>
      <c r="BX34" s="122"/>
      <c r="BY34" s="115"/>
      <c r="BZ34" s="115"/>
      <c r="CA34" s="115"/>
      <c r="CB34" s="115"/>
      <c r="CC34" s="115"/>
      <c r="CD34" s="115"/>
      <c r="CE34" s="115"/>
      <c r="CF34" s="115"/>
      <c r="CG34" s="115"/>
      <c r="CH34" s="115"/>
      <c r="CI34" s="115"/>
      <c r="CJ34" s="115"/>
      <c r="CK34" s="123"/>
      <c r="CL34" s="124"/>
      <c r="CM34" s="123"/>
      <c r="CN34" s="123"/>
      <c r="CO34" s="123"/>
      <c r="CP34" s="123"/>
      <c r="CQ34" s="123"/>
      <c r="CR34" s="123"/>
      <c r="CS34" s="123"/>
      <c r="CT34" s="115"/>
      <c r="CU34" s="115"/>
      <c r="CV34" s="115"/>
      <c r="CW34" s="115"/>
      <c r="CX34" s="115"/>
      <c r="CY34" s="121"/>
      <c r="CZ34" s="98"/>
      <c r="DA34" s="125"/>
      <c r="DB34" s="125"/>
      <c r="DC34" s="125"/>
      <c r="DD34" s="125"/>
      <c r="DE34" s="126"/>
      <c r="DF34" s="127"/>
      <c r="DI34" s="107"/>
      <c r="DL34" s="107"/>
      <c r="DN34" s="107"/>
    </row>
    <row r="35" spans="1:118" s="83" customFormat="1" ht="12" customHeight="1">
      <c r="A35" s="108" t="s">
        <v>63</v>
      </c>
      <c r="B35" s="109"/>
      <c r="C35" s="110"/>
      <c r="D35" s="110"/>
      <c r="E35" s="110"/>
      <c r="F35" s="111"/>
      <c r="G35" s="111"/>
      <c r="H35" s="157"/>
      <c r="I35" s="113"/>
      <c r="J35" s="115"/>
      <c r="K35" s="116"/>
      <c r="L35" s="116"/>
      <c r="M35" s="116"/>
      <c r="N35" s="116"/>
      <c r="O35" s="116"/>
      <c r="P35" s="116"/>
      <c r="Q35" s="116"/>
      <c r="R35" s="116"/>
      <c r="S35" s="116"/>
      <c r="T35" s="116"/>
      <c r="U35" s="117"/>
      <c r="V35" s="117"/>
      <c r="W35" s="206"/>
      <c r="X35" s="206"/>
      <c r="Y35" s="206"/>
      <c r="Z35" s="206"/>
      <c r="AA35" s="118"/>
      <c r="AB35" s="118"/>
      <c r="AC35" s="118"/>
      <c r="AD35" s="119"/>
      <c r="AE35" s="119"/>
      <c r="AF35" s="74"/>
      <c r="AG35" s="74"/>
      <c r="AH35" s="118"/>
      <c r="AI35" s="118"/>
      <c r="AJ35" s="118"/>
      <c r="AK35" s="74"/>
      <c r="AL35" s="74"/>
      <c r="AM35" s="206"/>
      <c r="AN35" s="206"/>
      <c r="AO35" s="206"/>
      <c r="AP35" s="97"/>
      <c r="AQ35" s="97"/>
      <c r="AR35" s="97"/>
      <c r="AS35" s="97"/>
      <c r="AT35" s="97"/>
      <c r="AU35" s="97"/>
      <c r="AV35" s="97"/>
      <c r="AW35" s="98"/>
      <c r="AX35" s="97"/>
      <c r="AY35" s="97"/>
      <c r="AZ35" s="97"/>
      <c r="BA35" s="97"/>
      <c r="BB35" s="97"/>
      <c r="BC35" s="97"/>
      <c r="BD35" s="97"/>
      <c r="BE35" s="98"/>
      <c r="BF35" s="98"/>
      <c r="BG35" s="98"/>
      <c r="BH35" s="98"/>
      <c r="BI35" s="98"/>
      <c r="BJ35" s="98"/>
      <c r="BK35" s="120"/>
      <c r="BL35" s="120"/>
      <c r="BM35" s="120"/>
      <c r="BN35" s="98"/>
      <c r="BO35" s="98"/>
      <c r="BP35" s="98"/>
      <c r="BQ35" s="98"/>
      <c r="BR35" s="98"/>
      <c r="BS35" s="120"/>
      <c r="BT35" s="120"/>
      <c r="BU35" s="120"/>
      <c r="BV35" s="120"/>
      <c r="BW35" s="120"/>
      <c r="BX35" s="122"/>
      <c r="BY35" s="115"/>
      <c r="BZ35" s="115"/>
      <c r="CA35" s="115"/>
      <c r="CB35" s="115"/>
      <c r="CC35" s="115"/>
      <c r="CD35" s="115"/>
      <c r="CE35" s="115"/>
      <c r="CF35" s="115"/>
      <c r="CG35" s="115"/>
      <c r="CH35" s="115"/>
      <c r="CI35" s="115"/>
      <c r="CJ35" s="115"/>
      <c r="CK35" s="123"/>
      <c r="CL35" s="124"/>
      <c r="CM35" s="123"/>
      <c r="CN35" s="123"/>
      <c r="CO35" s="123"/>
      <c r="CP35" s="123"/>
      <c r="CQ35" s="123"/>
      <c r="CR35" s="123"/>
      <c r="CS35" s="123"/>
      <c r="CT35" s="115"/>
      <c r="CU35" s="115"/>
      <c r="CV35" s="115"/>
      <c r="CW35" s="115"/>
      <c r="CX35" s="115"/>
      <c r="CY35" s="121"/>
      <c r="CZ35" s="98"/>
      <c r="DA35" s="125"/>
      <c r="DB35" s="125"/>
      <c r="DC35" s="125"/>
      <c r="DD35" s="125"/>
      <c r="DE35" s="126"/>
      <c r="DF35" s="127"/>
      <c r="DI35" s="107"/>
      <c r="DL35" s="107"/>
      <c r="DN35" s="107"/>
    </row>
    <row r="36" spans="1:118" s="134" customFormat="1" ht="12" customHeight="1" thickBot="1">
      <c r="A36" s="250" t="s">
        <v>22</v>
      </c>
      <c r="B36" s="251"/>
      <c r="C36" s="252"/>
      <c r="D36" s="202"/>
      <c r="E36" s="202"/>
      <c r="F36" s="128"/>
      <c r="G36" s="128"/>
      <c r="H36" s="129"/>
      <c r="I36" s="129"/>
      <c r="J36" s="130" t="s">
        <v>101</v>
      </c>
      <c r="K36" s="130" t="s">
        <v>242</v>
      </c>
      <c r="L36" s="130" t="s">
        <v>243</v>
      </c>
      <c r="M36" s="130" t="s">
        <v>244</v>
      </c>
      <c r="N36" s="130" t="s">
        <v>193</v>
      </c>
      <c r="O36" s="130" t="s">
        <v>245</v>
      </c>
      <c r="P36" s="130" t="s">
        <v>246</v>
      </c>
      <c r="Q36" s="130" t="s">
        <v>247</v>
      </c>
      <c r="R36" s="130" t="s">
        <v>248</v>
      </c>
      <c r="S36" s="130" t="s">
        <v>249</v>
      </c>
      <c r="T36" s="132" t="s">
        <v>250</v>
      </c>
      <c r="U36" s="130" t="s">
        <v>251</v>
      </c>
      <c r="V36" s="130"/>
      <c r="W36" s="130" t="s">
        <v>67</v>
      </c>
      <c r="X36" s="130"/>
      <c r="Y36" s="130" t="s">
        <v>200</v>
      </c>
      <c r="Z36" s="130"/>
      <c r="AA36" s="132" t="s">
        <v>202</v>
      </c>
      <c r="AB36" s="130"/>
      <c r="AC36" s="130" t="s">
        <v>108</v>
      </c>
      <c r="AD36" s="130" t="s">
        <v>36</v>
      </c>
      <c r="AE36" s="130" t="s">
        <v>37</v>
      </c>
      <c r="AF36" s="131" t="s">
        <v>352</v>
      </c>
      <c r="AG36" s="131" t="s">
        <v>90</v>
      </c>
      <c r="AH36" s="131" t="s">
        <v>351</v>
      </c>
      <c r="AI36" s="131" t="s">
        <v>353</v>
      </c>
      <c r="AJ36" s="131" t="s">
        <v>203</v>
      </c>
      <c r="AK36" s="131" t="s">
        <v>91</v>
      </c>
      <c r="AL36" s="131" t="s">
        <v>92</v>
      </c>
      <c r="AM36" s="131" t="s">
        <v>204</v>
      </c>
      <c r="AN36" s="131" t="s">
        <v>100</v>
      </c>
      <c r="AO36" s="131" t="s">
        <v>205</v>
      </c>
      <c r="AP36" s="131" t="s">
        <v>207</v>
      </c>
      <c r="AQ36" s="131" t="s">
        <v>208</v>
      </c>
      <c r="AR36" s="131" t="s">
        <v>210</v>
      </c>
      <c r="AS36" s="131" t="s">
        <v>206</v>
      </c>
      <c r="AT36" s="131" t="s">
        <v>209</v>
      </c>
      <c r="AU36" s="131" t="s">
        <v>211</v>
      </c>
      <c r="AV36" s="131" t="s">
        <v>212</v>
      </c>
      <c r="AW36" s="131" t="s">
        <v>94</v>
      </c>
      <c r="AX36" s="131" t="s">
        <v>213</v>
      </c>
      <c r="AY36" s="131" t="s">
        <v>215</v>
      </c>
      <c r="AZ36" s="131" t="s">
        <v>218</v>
      </c>
      <c r="BA36" s="131" t="s">
        <v>214</v>
      </c>
      <c r="BB36" s="131" t="s">
        <v>216</v>
      </c>
      <c r="BC36" s="131" t="s">
        <v>219</v>
      </c>
      <c r="BD36" s="131" t="s">
        <v>217</v>
      </c>
      <c r="BE36" s="131" t="s">
        <v>220</v>
      </c>
      <c r="BF36" s="131" t="s">
        <v>221</v>
      </c>
      <c r="BG36" s="131" t="s">
        <v>222</v>
      </c>
      <c r="BH36" s="131" t="s">
        <v>223</v>
      </c>
      <c r="BI36" s="131" t="s">
        <v>224</v>
      </c>
      <c r="BJ36" s="131" t="s">
        <v>225</v>
      </c>
      <c r="BK36" s="131" t="s">
        <v>226</v>
      </c>
      <c r="BL36" s="131" t="s">
        <v>227</v>
      </c>
      <c r="BM36" s="131" t="s">
        <v>228</v>
      </c>
      <c r="BN36" s="131" t="s">
        <v>229</v>
      </c>
      <c r="BO36" s="131" t="s">
        <v>230</v>
      </c>
      <c r="BP36" s="131" t="s">
        <v>231</v>
      </c>
      <c r="BQ36" s="131" t="s">
        <v>232</v>
      </c>
      <c r="BR36" s="131" t="s">
        <v>233</v>
      </c>
      <c r="BS36" s="131" t="s">
        <v>234</v>
      </c>
      <c r="BT36" s="131" t="s">
        <v>235</v>
      </c>
      <c r="BU36" s="131" t="s">
        <v>236</v>
      </c>
      <c r="BV36" s="131" t="s">
        <v>237</v>
      </c>
      <c r="BW36" s="131" t="s">
        <v>238</v>
      </c>
      <c r="BX36" s="131" t="s">
        <v>38</v>
      </c>
      <c r="BY36" s="131" t="s">
        <v>58</v>
      </c>
      <c r="BZ36" s="131" t="s">
        <v>39</v>
      </c>
      <c r="CA36" s="131" t="s">
        <v>40</v>
      </c>
      <c r="CB36" s="131" t="s">
        <v>41</v>
      </c>
      <c r="CC36" s="131" t="s">
        <v>42</v>
      </c>
      <c r="CD36" s="131" t="s">
        <v>59</v>
      </c>
      <c r="CE36" s="131" t="s">
        <v>43</v>
      </c>
      <c r="CF36" s="131" t="s">
        <v>44</v>
      </c>
      <c r="CG36" s="131" t="s">
        <v>47</v>
      </c>
      <c r="CH36" s="131" t="s">
        <v>48</v>
      </c>
      <c r="CI36" s="131" t="s">
        <v>45</v>
      </c>
      <c r="CJ36" s="131" t="s">
        <v>46</v>
      </c>
      <c r="CK36" s="131" t="s">
        <v>345</v>
      </c>
      <c r="CL36" s="131" t="s">
        <v>347</v>
      </c>
      <c r="CM36" s="131" t="s">
        <v>346</v>
      </c>
      <c r="CN36" s="131" t="s">
        <v>348</v>
      </c>
      <c r="CO36" s="131" t="s">
        <v>349</v>
      </c>
      <c r="CP36" s="131" t="s">
        <v>239</v>
      </c>
      <c r="CQ36" s="131"/>
      <c r="CR36" s="131" t="s">
        <v>56</v>
      </c>
      <c r="CS36" s="131" t="s">
        <v>71</v>
      </c>
      <c r="CT36" s="131" t="s">
        <v>51</v>
      </c>
      <c r="CU36" s="131" t="s">
        <v>52</v>
      </c>
      <c r="CV36" s="131" t="s">
        <v>68</v>
      </c>
      <c r="CW36" s="131" t="s">
        <v>69</v>
      </c>
      <c r="CX36" s="131" t="s">
        <v>53</v>
      </c>
      <c r="CY36" s="131" t="s">
        <v>49</v>
      </c>
      <c r="CZ36" s="131" t="s">
        <v>240</v>
      </c>
      <c r="DA36" s="131" t="s">
        <v>96</v>
      </c>
      <c r="DB36" s="131" t="s">
        <v>256</v>
      </c>
      <c r="DC36" s="131" t="s">
        <v>257</v>
      </c>
      <c r="DD36" s="131" t="s">
        <v>97</v>
      </c>
      <c r="DE36" s="158"/>
      <c r="DF36" s="159"/>
    </row>
    <row r="37" spans="1:118" s="144" customFormat="1" ht="12" customHeight="1">
      <c r="A37" s="108" t="s">
        <v>28</v>
      </c>
      <c r="B37" s="150"/>
      <c r="C37" s="151"/>
      <c r="D37" s="151"/>
      <c r="E37" s="151"/>
      <c r="F37" s="152"/>
      <c r="G37" s="152"/>
      <c r="H37" s="153"/>
      <c r="I37" s="153"/>
      <c r="J37" s="142"/>
      <c r="K37" s="142"/>
      <c r="L37" s="142"/>
      <c r="M37" s="142"/>
      <c r="N37" s="142"/>
      <c r="O37" s="142"/>
      <c r="P37" s="142"/>
      <c r="Q37" s="142"/>
      <c r="R37" s="142"/>
      <c r="S37" s="142"/>
      <c r="T37" s="142"/>
      <c r="U37" s="142"/>
      <c r="V37" s="142"/>
      <c r="W37" s="142"/>
      <c r="X37" s="142"/>
      <c r="Y37" s="142"/>
      <c r="Z37" s="142"/>
      <c r="AA37" s="142"/>
      <c r="AB37" s="142"/>
      <c r="AC37" s="142"/>
      <c r="AD37" s="141"/>
      <c r="AE37" s="141"/>
      <c r="AF37" s="74"/>
      <c r="AG37" s="74"/>
      <c r="AH37" s="142"/>
      <c r="AI37" s="142"/>
      <c r="AJ37" s="142"/>
      <c r="AK37" s="74"/>
      <c r="AL37" s="74"/>
      <c r="AM37" s="142"/>
      <c r="AN37" s="142"/>
      <c r="AO37" s="142"/>
      <c r="AP37" s="97"/>
      <c r="AQ37" s="97"/>
      <c r="AR37" s="97"/>
      <c r="AS37" s="97"/>
      <c r="AT37" s="97"/>
      <c r="AU37" s="97"/>
      <c r="AV37" s="97"/>
      <c r="AW37" s="98"/>
      <c r="AX37" s="97"/>
      <c r="AY37" s="97"/>
      <c r="AZ37" s="97"/>
      <c r="BA37" s="97"/>
      <c r="BB37" s="97"/>
      <c r="BC37" s="97"/>
      <c r="BD37" s="97"/>
      <c r="BE37" s="98"/>
      <c r="BF37" s="98"/>
      <c r="BG37" s="98"/>
      <c r="BH37" s="98"/>
      <c r="BI37" s="98"/>
      <c r="BJ37" s="98"/>
      <c r="BK37" s="141"/>
      <c r="BL37" s="141"/>
      <c r="BM37" s="141"/>
      <c r="BN37" s="98"/>
      <c r="BO37" s="98"/>
      <c r="BP37" s="98"/>
      <c r="BQ37" s="98"/>
      <c r="BR37" s="98"/>
      <c r="BS37" s="141"/>
      <c r="BT37" s="141"/>
      <c r="BU37" s="141"/>
      <c r="BV37" s="141"/>
      <c r="BW37" s="141"/>
      <c r="BX37" s="142"/>
      <c r="BY37" s="142"/>
      <c r="BZ37" s="142"/>
      <c r="CA37" s="142"/>
      <c r="CB37" s="142"/>
      <c r="CC37" s="142"/>
      <c r="CD37" s="142"/>
      <c r="CE37" s="142"/>
      <c r="CF37" s="142"/>
      <c r="CG37" s="142"/>
      <c r="CH37" s="142"/>
      <c r="CI37" s="142"/>
      <c r="CJ37" s="142"/>
      <c r="CK37" s="141"/>
      <c r="CL37" s="141"/>
      <c r="CM37" s="141"/>
      <c r="CN37" s="141"/>
      <c r="CO37" s="141"/>
      <c r="CP37" s="141"/>
      <c r="CQ37" s="141"/>
      <c r="CR37" s="141"/>
      <c r="CS37" s="141"/>
      <c r="CT37" s="142"/>
      <c r="CU37" s="142"/>
      <c r="CV37" s="142"/>
      <c r="CW37" s="142"/>
      <c r="CX37" s="142"/>
      <c r="CY37" s="142"/>
      <c r="CZ37" s="98"/>
      <c r="DA37" s="142"/>
      <c r="DB37" s="142"/>
      <c r="DC37" s="142"/>
      <c r="DD37" s="142"/>
      <c r="DE37" s="160"/>
      <c r="DF37" s="152"/>
    </row>
    <row r="38" spans="1:118" s="144" customFormat="1" ht="12" customHeight="1">
      <c r="A38" s="48" t="s">
        <v>87</v>
      </c>
      <c r="B38" s="150"/>
      <c r="C38" s="151"/>
      <c r="D38" s="151"/>
      <c r="E38" s="151"/>
      <c r="F38" s="152"/>
      <c r="G38" s="152"/>
      <c r="H38" s="153"/>
      <c r="I38" s="153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  <c r="X38" s="142"/>
      <c r="Y38" s="142"/>
      <c r="Z38" s="142"/>
      <c r="AA38" s="142"/>
      <c r="AB38" s="142"/>
      <c r="AC38" s="142"/>
      <c r="AD38" s="141"/>
      <c r="AE38" s="141"/>
      <c r="AF38" s="74"/>
      <c r="AG38" s="74"/>
      <c r="AH38" s="142"/>
      <c r="AI38" s="142"/>
      <c r="AJ38" s="142"/>
      <c r="AK38" s="74"/>
      <c r="AL38" s="74"/>
      <c r="AM38" s="142"/>
      <c r="AN38" s="142"/>
      <c r="AO38" s="142"/>
      <c r="AP38" s="97"/>
      <c r="AQ38" s="97"/>
      <c r="AR38" s="97"/>
      <c r="AS38" s="97"/>
      <c r="AT38" s="97"/>
      <c r="AU38" s="97"/>
      <c r="AV38" s="97"/>
      <c r="AW38" s="98"/>
      <c r="AX38" s="97"/>
      <c r="AY38" s="97"/>
      <c r="AZ38" s="97"/>
      <c r="BA38" s="97"/>
      <c r="BB38" s="97"/>
      <c r="BC38" s="97"/>
      <c r="BD38" s="97"/>
      <c r="BE38" s="98"/>
      <c r="BF38" s="98"/>
      <c r="BG38" s="98"/>
      <c r="BH38" s="98"/>
      <c r="BI38" s="98"/>
      <c r="BJ38" s="98"/>
      <c r="BK38" s="141"/>
      <c r="BL38" s="141"/>
      <c r="BM38" s="141"/>
      <c r="BN38" s="98"/>
      <c r="BO38" s="98"/>
      <c r="BP38" s="98"/>
      <c r="BQ38" s="98"/>
      <c r="BR38" s="98"/>
      <c r="BS38" s="141"/>
      <c r="BT38" s="141"/>
      <c r="BU38" s="141"/>
      <c r="BV38" s="141"/>
      <c r="BW38" s="141"/>
      <c r="BX38" s="142"/>
      <c r="BY38" s="142"/>
      <c r="BZ38" s="142"/>
      <c r="CA38" s="142"/>
      <c r="CB38" s="142"/>
      <c r="CC38" s="142"/>
      <c r="CD38" s="142"/>
      <c r="CE38" s="142"/>
      <c r="CF38" s="142"/>
      <c r="CG38" s="142"/>
      <c r="CH38" s="142"/>
      <c r="CI38" s="142"/>
      <c r="CJ38" s="142"/>
      <c r="CK38" s="141"/>
      <c r="CL38" s="141"/>
      <c r="CM38" s="141"/>
      <c r="CN38" s="141"/>
      <c r="CO38" s="141"/>
      <c r="CP38" s="141"/>
      <c r="CQ38" s="141"/>
      <c r="CR38" s="141"/>
      <c r="CS38" s="141"/>
      <c r="CT38" s="142"/>
      <c r="CU38" s="142"/>
      <c r="CV38" s="142"/>
      <c r="CW38" s="142"/>
      <c r="CX38" s="142"/>
      <c r="CY38" s="142"/>
      <c r="CZ38" s="98"/>
      <c r="DA38" s="142"/>
      <c r="DB38" s="142"/>
      <c r="DC38" s="142"/>
      <c r="DD38" s="142"/>
      <c r="DE38" s="160"/>
      <c r="DF38" s="152"/>
    </row>
    <row r="39" spans="1:118" s="83" customFormat="1" ht="12" customHeight="1">
      <c r="A39" s="154" t="s">
        <v>25</v>
      </c>
      <c r="B39" s="84"/>
      <c r="C39" s="85"/>
      <c r="D39" s="85"/>
      <c r="E39" s="85"/>
      <c r="F39" s="86"/>
      <c r="G39" s="86"/>
      <c r="H39" s="87"/>
      <c r="I39" s="87"/>
      <c r="J39" s="155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1"/>
      <c r="V39" s="91"/>
      <c r="W39" s="98"/>
      <c r="X39" s="98"/>
      <c r="Y39" s="98"/>
      <c r="Z39" s="98"/>
      <c r="AA39" s="103"/>
      <c r="AB39" s="103"/>
      <c r="AC39" s="103"/>
      <c r="AD39" s="94"/>
      <c r="AE39" s="94"/>
      <c r="AF39" s="74"/>
      <c r="AG39" s="74"/>
      <c r="AH39" s="103"/>
      <c r="AI39" s="103"/>
      <c r="AJ39" s="103"/>
      <c r="AK39" s="74"/>
      <c r="AL39" s="74"/>
      <c r="AM39" s="98"/>
      <c r="AN39" s="98"/>
      <c r="AO39" s="98"/>
      <c r="AP39" s="97"/>
      <c r="AQ39" s="97"/>
      <c r="AR39" s="97"/>
      <c r="AS39" s="97"/>
      <c r="AT39" s="97"/>
      <c r="AU39" s="97"/>
      <c r="AV39" s="97"/>
      <c r="AW39" s="98"/>
      <c r="AX39" s="97"/>
      <c r="AY39" s="97"/>
      <c r="AZ39" s="97"/>
      <c r="BA39" s="97"/>
      <c r="BB39" s="97"/>
      <c r="BC39" s="97"/>
      <c r="BD39" s="97"/>
      <c r="BE39" s="98"/>
      <c r="BF39" s="98"/>
      <c r="BG39" s="98"/>
      <c r="BH39" s="98"/>
      <c r="BI39" s="98"/>
      <c r="BJ39" s="98"/>
      <c r="BK39" s="76"/>
      <c r="BL39" s="76"/>
      <c r="BM39" s="76"/>
      <c r="BN39" s="98"/>
      <c r="BO39" s="98"/>
      <c r="BP39" s="98"/>
      <c r="BQ39" s="98"/>
      <c r="BR39" s="98"/>
      <c r="BS39" s="76"/>
      <c r="BT39" s="76"/>
      <c r="BU39" s="76"/>
      <c r="BV39" s="76"/>
      <c r="BW39" s="76"/>
      <c r="BX39" s="80"/>
      <c r="BY39" s="89"/>
      <c r="BZ39" s="89"/>
      <c r="CA39" s="89"/>
      <c r="CB39" s="89"/>
      <c r="CC39" s="89"/>
      <c r="CD39" s="89">
        <f>IF(J39+O39+P39&gt;$CD$6*20,$CD$6*20,J39+O39+P39)</f>
        <v>0</v>
      </c>
      <c r="CE39" s="89">
        <f t="shared" ref="CE39" si="1">ROUND($CD39*CE$9,)</f>
        <v>0</v>
      </c>
      <c r="CF39" s="89">
        <f>ROUND($CD39*CF$9,)</f>
        <v>0</v>
      </c>
      <c r="CG39" s="89"/>
      <c r="CH39" s="89"/>
      <c r="CI39" s="89"/>
      <c r="CJ39" s="89"/>
      <c r="CK39" s="76"/>
      <c r="CL39" s="76"/>
      <c r="CM39" s="76"/>
      <c r="CN39" s="76"/>
      <c r="CO39" s="76"/>
      <c r="CP39" s="76"/>
      <c r="CQ39" s="76"/>
      <c r="CR39" s="76"/>
      <c r="CS39" s="76"/>
      <c r="CT39" s="89"/>
      <c r="CU39" s="89"/>
      <c r="CV39" s="89"/>
      <c r="CW39" s="89"/>
      <c r="CX39" s="89"/>
      <c r="CY39" s="96"/>
      <c r="CZ39" s="98"/>
      <c r="DA39" s="79"/>
      <c r="DB39" s="79"/>
      <c r="DC39" s="79"/>
      <c r="DD39" s="79"/>
      <c r="DE39" s="81"/>
      <c r="DF39" s="82"/>
    </row>
    <row r="40" spans="1:118" s="83" customFormat="1" ht="12" customHeight="1">
      <c r="A40" s="48" t="s">
        <v>84</v>
      </c>
      <c r="B40" s="84"/>
      <c r="C40" s="85"/>
      <c r="D40" s="85"/>
      <c r="E40" s="85"/>
      <c r="F40" s="86"/>
      <c r="G40" s="86"/>
      <c r="H40" s="87"/>
      <c r="I40" s="87"/>
      <c r="J40" s="155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1"/>
      <c r="V40" s="91"/>
      <c r="W40" s="98"/>
      <c r="X40" s="98"/>
      <c r="Y40" s="98"/>
      <c r="Z40" s="98"/>
      <c r="AA40" s="103"/>
      <c r="AB40" s="103"/>
      <c r="AC40" s="103"/>
      <c r="AD40" s="94"/>
      <c r="AE40" s="94"/>
      <c r="AF40" s="74"/>
      <c r="AG40" s="74"/>
      <c r="AH40" s="103"/>
      <c r="AI40" s="103"/>
      <c r="AJ40" s="103"/>
      <c r="AK40" s="74"/>
      <c r="AL40" s="74"/>
      <c r="AM40" s="98"/>
      <c r="AN40" s="98"/>
      <c r="AO40" s="98"/>
      <c r="AP40" s="97"/>
      <c r="AQ40" s="97"/>
      <c r="AR40" s="97"/>
      <c r="AS40" s="97"/>
      <c r="AT40" s="97"/>
      <c r="AU40" s="97"/>
      <c r="AV40" s="97"/>
      <c r="AW40" s="98"/>
      <c r="AX40" s="97"/>
      <c r="AY40" s="97"/>
      <c r="AZ40" s="97"/>
      <c r="BA40" s="97"/>
      <c r="BB40" s="97"/>
      <c r="BC40" s="97"/>
      <c r="BD40" s="97"/>
      <c r="BE40" s="98"/>
      <c r="BF40" s="98"/>
      <c r="BG40" s="98"/>
      <c r="BH40" s="98"/>
      <c r="BI40" s="98"/>
      <c r="BJ40" s="98"/>
      <c r="BK40" s="76"/>
      <c r="BL40" s="76"/>
      <c r="BM40" s="76"/>
      <c r="BN40" s="98"/>
      <c r="BO40" s="98"/>
      <c r="BP40" s="98"/>
      <c r="BQ40" s="98"/>
      <c r="BR40" s="98"/>
      <c r="BS40" s="76"/>
      <c r="BT40" s="76"/>
      <c r="BU40" s="76"/>
      <c r="BV40" s="76"/>
      <c r="BW40" s="76"/>
      <c r="BX40" s="80"/>
      <c r="BY40" s="89"/>
      <c r="BZ40" s="89"/>
      <c r="CA40" s="89"/>
      <c r="CB40" s="89"/>
      <c r="CC40" s="89"/>
      <c r="CD40" s="89"/>
      <c r="CE40" s="89"/>
      <c r="CF40" s="89"/>
      <c r="CG40" s="89"/>
      <c r="CH40" s="89"/>
      <c r="CI40" s="89"/>
      <c r="CJ40" s="89"/>
      <c r="CK40" s="76"/>
      <c r="CL40" s="76"/>
      <c r="CM40" s="76"/>
      <c r="CN40" s="76"/>
      <c r="CO40" s="76"/>
      <c r="CP40" s="76"/>
      <c r="CQ40" s="76"/>
      <c r="CR40" s="76"/>
      <c r="CS40" s="76"/>
      <c r="CT40" s="89"/>
      <c r="CU40" s="89"/>
      <c r="CV40" s="89"/>
      <c r="CW40" s="89"/>
      <c r="CX40" s="89"/>
      <c r="CY40" s="96"/>
      <c r="CZ40" s="98"/>
      <c r="DA40" s="79"/>
      <c r="DB40" s="79"/>
      <c r="DC40" s="79"/>
      <c r="DD40" s="79"/>
      <c r="DE40" s="81"/>
      <c r="DF40" s="82"/>
    </row>
    <row r="41" spans="1:118" s="83" customFormat="1" ht="12" customHeight="1">
      <c r="A41" s="108" t="s">
        <v>64</v>
      </c>
      <c r="B41" s="84"/>
      <c r="C41" s="85"/>
      <c r="D41" s="85"/>
      <c r="E41" s="85"/>
      <c r="F41" s="86"/>
      <c r="G41" s="86"/>
      <c r="H41" s="87"/>
      <c r="I41" s="87"/>
      <c r="J41" s="155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1"/>
      <c r="V41" s="91"/>
      <c r="W41" s="98"/>
      <c r="X41" s="98"/>
      <c r="Y41" s="98"/>
      <c r="Z41" s="98"/>
      <c r="AA41" s="103"/>
      <c r="AB41" s="103"/>
      <c r="AC41" s="103"/>
      <c r="AD41" s="94"/>
      <c r="AE41" s="94"/>
      <c r="AF41" s="74"/>
      <c r="AG41" s="74"/>
      <c r="AH41" s="103"/>
      <c r="AI41" s="103"/>
      <c r="AJ41" s="103"/>
      <c r="AK41" s="74"/>
      <c r="AL41" s="74"/>
      <c r="AM41" s="98"/>
      <c r="AN41" s="98"/>
      <c r="AO41" s="98"/>
      <c r="AP41" s="97"/>
      <c r="AQ41" s="97"/>
      <c r="AR41" s="97"/>
      <c r="AS41" s="97"/>
      <c r="AT41" s="97"/>
      <c r="AU41" s="97"/>
      <c r="AV41" s="97"/>
      <c r="AW41" s="98"/>
      <c r="AX41" s="97"/>
      <c r="AY41" s="97"/>
      <c r="AZ41" s="97"/>
      <c r="BA41" s="97"/>
      <c r="BB41" s="97"/>
      <c r="BC41" s="97"/>
      <c r="BD41" s="97"/>
      <c r="BE41" s="98"/>
      <c r="BF41" s="98"/>
      <c r="BG41" s="98"/>
      <c r="BH41" s="98"/>
      <c r="BI41" s="98"/>
      <c r="BJ41" s="98"/>
      <c r="BK41" s="76"/>
      <c r="BL41" s="76"/>
      <c r="BM41" s="76"/>
      <c r="BN41" s="98"/>
      <c r="BO41" s="98"/>
      <c r="BP41" s="98"/>
      <c r="BQ41" s="98"/>
      <c r="BR41" s="98"/>
      <c r="BS41" s="76"/>
      <c r="BT41" s="76"/>
      <c r="BU41" s="76"/>
      <c r="BV41" s="76"/>
      <c r="BW41" s="76"/>
      <c r="BX41" s="80"/>
      <c r="BY41" s="89"/>
      <c r="BZ41" s="89"/>
      <c r="CA41" s="89"/>
      <c r="CB41" s="89"/>
      <c r="CC41" s="89"/>
      <c r="CD41" s="89"/>
      <c r="CE41" s="89"/>
      <c r="CF41" s="89"/>
      <c r="CG41" s="89"/>
      <c r="CH41" s="89"/>
      <c r="CI41" s="89"/>
      <c r="CJ41" s="89"/>
      <c r="CK41" s="76"/>
      <c r="CL41" s="76"/>
      <c r="CM41" s="76"/>
      <c r="CN41" s="76"/>
      <c r="CO41" s="76"/>
      <c r="CP41" s="76"/>
      <c r="CQ41" s="76"/>
      <c r="CR41" s="76"/>
      <c r="CS41" s="76"/>
      <c r="CT41" s="89"/>
      <c r="CU41" s="89"/>
      <c r="CV41" s="89"/>
      <c r="CW41" s="89"/>
      <c r="CX41" s="89"/>
      <c r="CY41" s="96"/>
      <c r="CZ41" s="98"/>
      <c r="DA41" s="79"/>
      <c r="DB41" s="79"/>
      <c r="DC41" s="79"/>
      <c r="DD41" s="79"/>
      <c r="DE41" s="81"/>
      <c r="DF41" s="82"/>
    </row>
    <row r="42" spans="1:118" s="83" customFormat="1" ht="12" customHeight="1">
      <c r="A42" s="146" t="s">
        <v>30</v>
      </c>
      <c r="B42" s="100" t="s">
        <v>32</v>
      </c>
      <c r="C42" s="86" t="s">
        <v>33</v>
      </c>
      <c r="D42" s="86" t="s">
        <v>131</v>
      </c>
      <c r="E42" s="86" t="s">
        <v>130</v>
      </c>
      <c r="F42" s="86" t="s">
        <v>34</v>
      </c>
      <c r="G42" s="86" t="s">
        <v>129</v>
      </c>
      <c r="H42" s="156" t="s">
        <v>35</v>
      </c>
      <c r="I42" s="102" t="s">
        <v>104</v>
      </c>
      <c r="J42" s="88" t="s">
        <v>101</v>
      </c>
      <c r="K42" s="90" t="s">
        <v>242</v>
      </c>
      <c r="L42" s="90" t="s">
        <v>243</v>
      </c>
      <c r="M42" s="90" t="s">
        <v>244</v>
      </c>
      <c r="N42" s="90" t="s">
        <v>193</v>
      </c>
      <c r="O42" s="90" t="s">
        <v>245</v>
      </c>
      <c r="P42" s="90" t="s">
        <v>246</v>
      </c>
      <c r="Q42" s="90" t="s">
        <v>247</v>
      </c>
      <c r="R42" s="90" t="s">
        <v>248</v>
      </c>
      <c r="S42" s="90" t="s">
        <v>249</v>
      </c>
      <c r="T42" s="90" t="s">
        <v>250</v>
      </c>
      <c r="U42" s="91" t="s">
        <v>251</v>
      </c>
      <c r="V42" s="91"/>
      <c r="W42" s="98" t="s">
        <v>67</v>
      </c>
      <c r="X42" s="98"/>
      <c r="Y42" s="98" t="s">
        <v>200</v>
      </c>
      <c r="Z42" s="98"/>
      <c r="AA42" s="74" t="s">
        <v>202</v>
      </c>
      <c r="AB42" s="74"/>
      <c r="AC42" s="74" t="s">
        <v>108</v>
      </c>
      <c r="AD42" s="94" t="s">
        <v>36</v>
      </c>
      <c r="AE42" s="94" t="s">
        <v>37</v>
      </c>
      <c r="AF42" s="74" t="s">
        <v>352</v>
      </c>
      <c r="AG42" s="74" t="s">
        <v>90</v>
      </c>
      <c r="AH42" s="74" t="s">
        <v>351</v>
      </c>
      <c r="AI42" s="74" t="s">
        <v>353</v>
      </c>
      <c r="AJ42" s="74" t="s">
        <v>203</v>
      </c>
      <c r="AK42" s="74" t="s">
        <v>91</v>
      </c>
      <c r="AL42" s="74" t="s">
        <v>92</v>
      </c>
      <c r="AM42" s="74" t="s">
        <v>204</v>
      </c>
      <c r="AN42" s="74" t="s">
        <v>100</v>
      </c>
      <c r="AO42" s="74" t="s">
        <v>205</v>
      </c>
      <c r="AP42" s="74" t="s">
        <v>207</v>
      </c>
      <c r="AQ42" s="74" t="s">
        <v>208</v>
      </c>
      <c r="AR42" s="74" t="s">
        <v>210</v>
      </c>
      <c r="AS42" s="74" t="s">
        <v>206</v>
      </c>
      <c r="AT42" s="74" t="s">
        <v>209</v>
      </c>
      <c r="AU42" s="74" t="s">
        <v>211</v>
      </c>
      <c r="AV42" s="74" t="s">
        <v>212</v>
      </c>
      <c r="AW42" s="74" t="s">
        <v>94</v>
      </c>
      <c r="AX42" s="74" t="s">
        <v>213</v>
      </c>
      <c r="AY42" s="74" t="s">
        <v>215</v>
      </c>
      <c r="AZ42" s="74" t="s">
        <v>218</v>
      </c>
      <c r="BA42" s="74" t="s">
        <v>214</v>
      </c>
      <c r="BB42" s="74" t="s">
        <v>216</v>
      </c>
      <c r="BC42" s="74" t="s">
        <v>219</v>
      </c>
      <c r="BD42" s="74" t="s">
        <v>217</v>
      </c>
      <c r="BE42" s="74" t="s">
        <v>220</v>
      </c>
      <c r="BF42" s="74" t="s">
        <v>221</v>
      </c>
      <c r="BG42" s="74" t="s">
        <v>222</v>
      </c>
      <c r="BH42" s="74" t="s">
        <v>223</v>
      </c>
      <c r="BI42" s="74" t="s">
        <v>224</v>
      </c>
      <c r="BJ42" s="74" t="s">
        <v>225</v>
      </c>
      <c r="BK42" s="74" t="s">
        <v>226</v>
      </c>
      <c r="BL42" s="74" t="s">
        <v>227</v>
      </c>
      <c r="BM42" s="74" t="s">
        <v>228</v>
      </c>
      <c r="BN42" s="74" t="s">
        <v>229</v>
      </c>
      <c r="BO42" s="74" t="s">
        <v>230</v>
      </c>
      <c r="BP42" s="74" t="s">
        <v>231</v>
      </c>
      <c r="BQ42" s="74" t="s">
        <v>232</v>
      </c>
      <c r="BR42" s="74" t="s">
        <v>233</v>
      </c>
      <c r="BS42" s="74" t="s">
        <v>234</v>
      </c>
      <c r="BT42" s="74" t="s">
        <v>235</v>
      </c>
      <c r="BU42" s="74" t="s">
        <v>236</v>
      </c>
      <c r="BV42" s="74" t="s">
        <v>237</v>
      </c>
      <c r="BW42" s="74" t="s">
        <v>238</v>
      </c>
      <c r="BX42" s="74" t="s">
        <v>38</v>
      </c>
      <c r="BY42" s="74" t="s">
        <v>58</v>
      </c>
      <c r="BZ42" s="74" t="s">
        <v>39</v>
      </c>
      <c r="CA42" s="74" t="s">
        <v>40</v>
      </c>
      <c r="CB42" s="74" t="s">
        <v>41</v>
      </c>
      <c r="CC42" s="74" t="s">
        <v>42</v>
      </c>
      <c r="CD42" s="74" t="s">
        <v>59</v>
      </c>
      <c r="CE42" s="74" t="s">
        <v>43</v>
      </c>
      <c r="CF42" s="74" t="s">
        <v>44</v>
      </c>
      <c r="CG42" s="74" t="s">
        <v>47</v>
      </c>
      <c r="CH42" s="74" t="s">
        <v>48</v>
      </c>
      <c r="CI42" s="74" t="s">
        <v>45</v>
      </c>
      <c r="CJ42" s="74" t="s">
        <v>46</v>
      </c>
      <c r="CK42" s="74" t="s">
        <v>345</v>
      </c>
      <c r="CL42" s="74" t="s">
        <v>347</v>
      </c>
      <c r="CM42" s="74" t="s">
        <v>346</v>
      </c>
      <c r="CN42" s="74" t="s">
        <v>348</v>
      </c>
      <c r="CO42" s="74" t="s">
        <v>349</v>
      </c>
      <c r="CP42" s="74" t="s">
        <v>239</v>
      </c>
      <c r="CQ42" s="74"/>
      <c r="CR42" s="74" t="s">
        <v>56</v>
      </c>
      <c r="CS42" s="74" t="s">
        <v>71</v>
      </c>
      <c r="CT42" s="74" t="s">
        <v>51</v>
      </c>
      <c r="CU42" s="74" t="s">
        <v>52</v>
      </c>
      <c r="CV42" s="74" t="s">
        <v>68</v>
      </c>
      <c r="CW42" s="74" t="s">
        <v>69</v>
      </c>
      <c r="CX42" s="74" t="s">
        <v>53</v>
      </c>
      <c r="CY42" s="74" t="s">
        <v>49</v>
      </c>
      <c r="CZ42" s="74" t="s">
        <v>240</v>
      </c>
      <c r="DA42" s="74" t="s">
        <v>96</v>
      </c>
      <c r="DB42" s="74" t="s">
        <v>256</v>
      </c>
      <c r="DC42" s="74" t="s">
        <v>257</v>
      </c>
      <c r="DD42" s="74" t="s">
        <v>97</v>
      </c>
      <c r="DE42" s="81" t="s">
        <v>54</v>
      </c>
      <c r="DF42" s="82" t="s">
        <v>55</v>
      </c>
      <c r="DH42" s="107"/>
      <c r="DI42" s="107"/>
      <c r="DL42" s="107"/>
      <c r="DN42" s="107"/>
    </row>
    <row r="43" spans="1:118" s="83" customFormat="1" ht="12" customHeight="1">
      <c r="A43" s="108" t="s">
        <v>28</v>
      </c>
      <c r="B43" s="109"/>
      <c r="C43" s="110"/>
      <c r="D43" s="110"/>
      <c r="E43" s="110"/>
      <c r="F43" s="111"/>
      <c r="G43" s="111"/>
      <c r="H43" s="157"/>
      <c r="I43" s="113"/>
      <c r="J43" s="114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7"/>
      <c r="V43" s="117"/>
      <c r="W43" s="206"/>
      <c r="X43" s="206"/>
      <c r="Y43" s="206"/>
      <c r="Z43" s="206"/>
      <c r="AA43" s="118"/>
      <c r="AB43" s="118"/>
      <c r="AC43" s="118"/>
      <c r="AD43" s="119"/>
      <c r="AE43" s="119"/>
      <c r="AF43" s="74"/>
      <c r="AG43" s="74"/>
      <c r="AH43" s="118"/>
      <c r="AI43" s="118"/>
      <c r="AJ43" s="118"/>
      <c r="AK43" s="74"/>
      <c r="AL43" s="74"/>
      <c r="AM43" s="206"/>
      <c r="AN43" s="206"/>
      <c r="AO43" s="206"/>
      <c r="AP43" s="97"/>
      <c r="AQ43" s="97"/>
      <c r="AR43" s="97"/>
      <c r="AS43" s="97"/>
      <c r="AT43" s="97"/>
      <c r="AU43" s="97"/>
      <c r="AV43" s="97"/>
      <c r="AW43" s="98"/>
      <c r="AX43" s="97"/>
      <c r="AY43" s="97"/>
      <c r="AZ43" s="97"/>
      <c r="BA43" s="97"/>
      <c r="BB43" s="97"/>
      <c r="BC43" s="97"/>
      <c r="BD43" s="97"/>
      <c r="BE43" s="98"/>
      <c r="BF43" s="98"/>
      <c r="BG43" s="98"/>
      <c r="BH43" s="98"/>
      <c r="BI43" s="98"/>
      <c r="BJ43" s="98"/>
      <c r="BK43" s="120"/>
      <c r="BL43" s="120"/>
      <c r="BM43" s="120"/>
      <c r="BN43" s="98"/>
      <c r="BO43" s="98"/>
      <c r="BP43" s="98"/>
      <c r="BQ43" s="98"/>
      <c r="BR43" s="98"/>
      <c r="BS43" s="120"/>
      <c r="BT43" s="120"/>
      <c r="BU43" s="120"/>
      <c r="BV43" s="120"/>
      <c r="BW43" s="120"/>
      <c r="BX43" s="122"/>
      <c r="BY43" s="115"/>
      <c r="BZ43" s="115"/>
      <c r="CA43" s="115"/>
      <c r="CB43" s="115"/>
      <c r="CC43" s="115"/>
      <c r="CD43" s="115"/>
      <c r="CE43" s="115"/>
      <c r="CF43" s="115"/>
      <c r="CG43" s="115"/>
      <c r="CH43" s="115"/>
      <c r="CI43" s="115"/>
      <c r="CJ43" s="115"/>
      <c r="CK43" s="123"/>
      <c r="CL43" s="124"/>
      <c r="CM43" s="123"/>
      <c r="CN43" s="123"/>
      <c r="CO43" s="123"/>
      <c r="CP43" s="123"/>
      <c r="CQ43" s="123"/>
      <c r="CR43" s="123"/>
      <c r="CS43" s="123"/>
      <c r="CT43" s="115"/>
      <c r="CU43" s="115"/>
      <c r="CV43" s="115"/>
      <c r="CW43" s="115"/>
      <c r="CX43" s="115"/>
      <c r="CY43" s="121"/>
      <c r="CZ43" s="98"/>
      <c r="DA43" s="125"/>
      <c r="DB43" s="125"/>
      <c r="DC43" s="125"/>
      <c r="DD43" s="125"/>
      <c r="DE43" s="126"/>
      <c r="DF43" s="127"/>
      <c r="DH43" s="107"/>
      <c r="DI43" s="107"/>
      <c r="DL43" s="107"/>
      <c r="DN43" s="107"/>
    </row>
    <row r="44" spans="1:118" s="83" customFormat="1" ht="12" customHeight="1">
      <c r="A44" s="108" t="s">
        <v>65</v>
      </c>
      <c r="B44" s="109"/>
      <c r="C44" s="110"/>
      <c r="D44" s="110"/>
      <c r="E44" s="110"/>
      <c r="F44" s="111"/>
      <c r="G44" s="111"/>
      <c r="H44" s="157"/>
      <c r="I44" s="113"/>
      <c r="J44" s="114"/>
      <c r="K44" s="116"/>
      <c r="L44" s="116"/>
      <c r="M44" s="116"/>
      <c r="N44" s="116"/>
      <c r="O44" s="116"/>
      <c r="P44" s="116"/>
      <c r="Q44" s="116"/>
      <c r="R44" s="116"/>
      <c r="S44" s="116"/>
      <c r="T44" s="116"/>
      <c r="U44" s="117"/>
      <c r="V44" s="117"/>
      <c r="W44" s="206"/>
      <c r="X44" s="206"/>
      <c r="Y44" s="206"/>
      <c r="Z44" s="206"/>
      <c r="AA44" s="118"/>
      <c r="AB44" s="118"/>
      <c r="AC44" s="118"/>
      <c r="AD44" s="119"/>
      <c r="AE44" s="119"/>
      <c r="AF44" s="74"/>
      <c r="AG44" s="74"/>
      <c r="AH44" s="118"/>
      <c r="AI44" s="118"/>
      <c r="AJ44" s="118"/>
      <c r="AK44" s="74"/>
      <c r="AL44" s="74"/>
      <c r="AM44" s="206"/>
      <c r="AN44" s="206"/>
      <c r="AO44" s="206"/>
      <c r="AP44" s="97"/>
      <c r="AQ44" s="97"/>
      <c r="AR44" s="97"/>
      <c r="AS44" s="97"/>
      <c r="AT44" s="97"/>
      <c r="AU44" s="97"/>
      <c r="AV44" s="97"/>
      <c r="AW44" s="98"/>
      <c r="AX44" s="97"/>
      <c r="AY44" s="97"/>
      <c r="AZ44" s="97"/>
      <c r="BA44" s="97"/>
      <c r="BB44" s="97"/>
      <c r="BC44" s="97"/>
      <c r="BD44" s="97"/>
      <c r="BE44" s="98"/>
      <c r="BF44" s="98"/>
      <c r="BG44" s="98"/>
      <c r="BH44" s="98"/>
      <c r="BI44" s="98"/>
      <c r="BJ44" s="98"/>
      <c r="BK44" s="120"/>
      <c r="BL44" s="120"/>
      <c r="BM44" s="120"/>
      <c r="BN44" s="98"/>
      <c r="BO44" s="98"/>
      <c r="BP44" s="98"/>
      <c r="BQ44" s="98"/>
      <c r="BR44" s="98"/>
      <c r="BS44" s="120"/>
      <c r="BT44" s="120"/>
      <c r="BU44" s="120"/>
      <c r="BV44" s="120"/>
      <c r="BW44" s="120"/>
      <c r="BX44" s="122"/>
      <c r="BY44" s="115"/>
      <c r="BZ44" s="115"/>
      <c r="CA44" s="115"/>
      <c r="CB44" s="115"/>
      <c r="CC44" s="115"/>
      <c r="CD44" s="115"/>
      <c r="CE44" s="115"/>
      <c r="CF44" s="115"/>
      <c r="CG44" s="115"/>
      <c r="CH44" s="115"/>
      <c r="CI44" s="115"/>
      <c r="CJ44" s="115"/>
      <c r="CK44" s="123"/>
      <c r="CL44" s="124"/>
      <c r="CM44" s="123"/>
      <c r="CN44" s="123"/>
      <c r="CO44" s="123"/>
      <c r="CP44" s="123"/>
      <c r="CQ44" s="123"/>
      <c r="CR44" s="123"/>
      <c r="CS44" s="123"/>
      <c r="CT44" s="115"/>
      <c r="CU44" s="115"/>
      <c r="CV44" s="115"/>
      <c r="CW44" s="115"/>
      <c r="CX44" s="115"/>
      <c r="CY44" s="121"/>
      <c r="CZ44" s="98"/>
      <c r="DA44" s="125"/>
      <c r="DB44" s="125"/>
      <c r="DC44" s="125"/>
      <c r="DD44" s="125"/>
      <c r="DE44" s="126"/>
      <c r="DF44" s="127"/>
      <c r="DH44" s="107"/>
      <c r="DI44" s="107"/>
      <c r="DL44" s="107"/>
      <c r="DN44" s="107"/>
    </row>
    <row r="45" spans="1:118" s="134" customFormat="1" ht="12" customHeight="1" thickBot="1">
      <c r="A45" s="250" t="s">
        <v>22</v>
      </c>
      <c r="B45" s="251"/>
      <c r="C45" s="252"/>
      <c r="D45" s="202"/>
      <c r="E45" s="202"/>
      <c r="F45" s="128"/>
      <c r="G45" s="128"/>
      <c r="H45" s="129"/>
      <c r="I45" s="129"/>
      <c r="J45" s="130" t="s">
        <v>101</v>
      </c>
      <c r="K45" s="130" t="s">
        <v>242</v>
      </c>
      <c r="L45" s="130" t="s">
        <v>243</v>
      </c>
      <c r="M45" s="130" t="s">
        <v>244</v>
      </c>
      <c r="N45" s="130" t="s">
        <v>193</v>
      </c>
      <c r="O45" s="130" t="s">
        <v>245</v>
      </c>
      <c r="P45" s="130" t="s">
        <v>246</v>
      </c>
      <c r="Q45" s="130" t="s">
        <v>247</v>
      </c>
      <c r="R45" s="130" t="s">
        <v>248</v>
      </c>
      <c r="S45" s="130" t="s">
        <v>249</v>
      </c>
      <c r="T45" s="132" t="s">
        <v>250</v>
      </c>
      <c r="U45" s="130" t="s">
        <v>251</v>
      </c>
      <c r="V45" s="130"/>
      <c r="W45" s="130" t="s">
        <v>67</v>
      </c>
      <c r="X45" s="130"/>
      <c r="Y45" s="130" t="s">
        <v>200</v>
      </c>
      <c r="Z45" s="130"/>
      <c r="AA45" s="132" t="s">
        <v>202</v>
      </c>
      <c r="AB45" s="130"/>
      <c r="AC45" s="130" t="s">
        <v>108</v>
      </c>
      <c r="AD45" s="130" t="s">
        <v>36</v>
      </c>
      <c r="AE45" s="130" t="s">
        <v>37</v>
      </c>
      <c r="AF45" s="131" t="s">
        <v>352</v>
      </c>
      <c r="AG45" s="131" t="s">
        <v>90</v>
      </c>
      <c r="AH45" s="131" t="s">
        <v>351</v>
      </c>
      <c r="AI45" s="131" t="s">
        <v>353</v>
      </c>
      <c r="AJ45" s="131" t="s">
        <v>203</v>
      </c>
      <c r="AK45" s="131" t="s">
        <v>91</v>
      </c>
      <c r="AL45" s="131" t="s">
        <v>92</v>
      </c>
      <c r="AM45" s="131" t="s">
        <v>204</v>
      </c>
      <c r="AN45" s="131" t="s">
        <v>100</v>
      </c>
      <c r="AO45" s="131" t="s">
        <v>205</v>
      </c>
      <c r="AP45" s="131" t="s">
        <v>207</v>
      </c>
      <c r="AQ45" s="131" t="s">
        <v>208</v>
      </c>
      <c r="AR45" s="131" t="s">
        <v>210</v>
      </c>
      <c r="AS45" s="131" t="s">
        <v>206</v>
      </c>
      <c r="AT45" s="131" t="s">
        <v>209</v>
      </c>
      <c r="AU45" s="131" t="s">
        <v>211</v>
      </c>
      <c r="AV45" s="131" t="s">
        <v>212</v>
      </c>
      <c r="AW45" s="131" t="s">
        <v>94</v>
      </c>
      <c r="AX45" s="131" t="s">
        <v>213</v>
      </c>
      <c r="AY45" s="131" t="s">
        <v>215</v>
      </c>
      <c r="AZ45" s="131" t="s">
        <v>218</v>
      </c>
      <c r="BA45" s="131" t="s">
        <v>214</v>
      </c>
      <c r="BB45" s="131" t="s">
        <v>216</v>
      </c>
      <c r="BC45" s="131" t="s">
        <v>219</v>
      </c>
      <c r="BD45" s="131" t="s">
        <v>217</v>
      </c>
      <c r="BE45" s="131" t="s">
        <v>220</v>
      </c>
      <c r="BF45" s="131" t="s">
        <v>221</v>
      </c>
      <c r="BG45" s="131" t="s">
        <v>222</v>
      </c>
      <c r="BH45" s="131" t="s">
        <v>223</v>
      </c>
      <c r="BI45" s="131" t="s">
        <v>224</v>
      </c>
      <c r="BJ45" s="131" t="s">
        <v>225</v>
      </c>
      <c r="BK45" s="131" t="s">
        <v>226</v>
      </c>
      <c r="BL45" s="131" t="s">
        <v>227</v>
      </c>
      <c r="BM45" s="131" t="s">
        <v>228</v>
      </c>
      <c r="BN45" s="131" t="s">
        <v>229</v>
      </c>
      <c r="BO45" s="131" t="s">
        <v>230</v>
      </c>
      <c r="BP45" s="131" t="s">
        <v>231</v>
      </c>
      <c r="BQ45" s="131" t="s">
        <v>232</v>
      </c>
      <c r="BR45" s="131" t="s">
        <v>233</v>
      </c>
      <c r="BS45" s="131" t="s">
        <v>234</v>
      </c>
      <c r="BT45" s="131" t="s">
        <v>235</v>
      </c>
      <c r="BU45" s="131" t="s">
        <v>236</v>
      </c>
      <c r="BV45" s="131" t="s">
        <v>237</v>
      </c>
      <c r="BW45" s="131" t="s">
        <v>238</v>
      </c>
      <c r="BX45" s="131" t="s">
        <v>38</v>
      </c>
      <c r="BY45" s="131" t="s">
        <v>58</v>
      </c>
      <c r="BZ45" s="131" t="s">
        <v>39</v>
      </c>
      <c r="CA45" s="131" t="s">
        <v>40</v>
      </c>
      <c r="CB45" s="131" t="s">
        <v>41</v>
      </c>
      <c r="CC45" s="131" t="s">
        <v>42</v>
      </c>
      <c r="CD45" s="131" t="s">
        <v>59</v>
      </c>
      <c r="CE45" s="131" t="s">
        <v>43</v>
      </c>
      <c r="CF45" s="131" t="s">
        <v>44</v>
      </c>
      <c r="CG45" s="131" t="s">
        <v>47</v>
      </c>
      <c r="CH45" s="131" t="s">
        <v>48</v>
      </c>
      <c r="CI45" s="131" t="s">
        <v>45</v>
      </c>
      <c r="CJ45" s="131" t="s">
        <v>46</v>
      </c>
      <c r="CK45" s="131" t="s">
        <v>345</v>
      </c>
      <c r="CL45" s="131" t="s">
        <v>347</v>
      </c>
      <c r="CM45" s="131" t="s">
        <v>346</v>
      </c>
      <c r="CN45" s="131" t="s">
        <v>348</v>
      </c>
      <c r="CO45" s="131" t="s">
        <v>349</v>
      </c>
      <c r="CP45" s="131" t="s">
        <v>239</v>
      </c>
      <c r="CQ45" s="131"/>
      <c r="CR45" s="131" t="s">
        <v>56</v>
      </c>
      <c r="CS45" s="131" t="s">
        <v>71</v>
      </c>
      <c r="CT45" s="131" t="s">
        <v>51</v>
      </c>
      <c r="CU45" s="131" t="s">
        <v>52</v>
      </c>
      <c r="CV45" s="131" t="s">
        <v>68</v>
      </c>
      <c r="CW45" s="131" t="s">
        <v>69</v>
      </c>
      <c r="CX45" s="131" t="s">
        <v>53</v>
      </c>
      <c r="CY45" s="131" t="s">
        <v>49</v>
      </c>
      <c r="CZ45" s="131" t="s">
        <v>240</v>
      </c>
      <c r="DA45" s="131" t="s">
        <v>96</v>
      </c>
      <c r="DB45" s="131" t="s">
        <v>256</v>
      </c>
      <c r="DC45" s="131" t="s">
        <v>257</v>
      </c>
      <c r="DD45" s="131" t="s">
        <v>97</v>
      </c>
      <c r="DE45" s="158"/>
      <c r="DF45" s="159"/>
    </row>
    <row r="46" spans="1:118" s="144" customFormat="1" ht="12" customHeight="1" thickBot="1">
      <c r="A46" s="108" t="s">
        <v>28</v>
      </c>
      <c r="B46" s="161"/>
      <c r="C46" s="162"/>
      <c r="D46" s="162"/>
      <c r="E46" s="162"/>
      <c r="F46" s="163"/>
      <c r="G46" s="163"/>
      <c r="H46" s="164"/>
      <c r="I46" s="164"/>
      <c r="J46" s="165"/>
      <c r="K46" s="165"/>
      <c r="L46" s="165"/>
      <c r="M46" s="165"/>
      <c r="N46" s="165"/>
      <c r="O46" s="165"/>
      <c r="P46" s="165"/>
      <c r="Q46" s="165"/>
      <c r="R46" s="165"/>
      <c r="S46" s="165"/>
      <c r="T46" s="165"/>
      <c r="U46" s="165"/>
      <c r="V46" s="165"/>
      <c r="W46" s="165"/>
      <c r="X46" s="165"/>
      <c r="Y46" s="165"/>
      <c r="Z46" s="165"/>
      <c r="AA46" s="165"/>
      <c r="AB46" s="165"/>
      <c r="AC46" s="165"/>
      <c r="AD46" s="165"/>
      <c r="AE46" s="165"/>
      <c r="AF46" s="165"/>
      <c r="AG46" s="165"/>
      <c r="AH46" s="165"/>
      <c r="AI46" s="165"/>
      <c r="AJ46" s="165"/>
      <c r="AK46" s="165"/>
      <c r="AL46" s="165"/>
      <c r="AM46" s="165"/>
      <c r="AN46" s="165"/>
      <c r="AO46" s="165"/>
      <c r="AP46" s="165"/>
      <c r="AQ46" s="165"/>
      <c r="AR46" s="165"/>
      <c r="AS46" s="165"/>
      <c r="AT46" s="165"/>
      <c r="AU46" s="165"/>
      <c r="AV46" s="165"/>
      <c r="AW46" s="165"/>
      <c r="AX46" s="165"/>
      <c r="AY46" s="165"/>
      <c r="AZ46" s="165"/>
      <c r="BA46" s="165"/>
      <c r="BB46" s="165"/>
      <c r="BC46" s="165"/>
      <c r="BD46" s="165"/>
      <c r="BE46" s="165"/>
      <c r="BF46" s="165"/>
      <c r="BG46" s="165"/>
      <c r="BH46" s="165"/>
      <c r="BI46" s="165"/>
      <c r="BJ46" s="165"/>
      <c r="BK46" s="165"/>
      <c r="BL46" s="165"/>
      <c r="BM46" s="165"/>
      <c r="BN46" s="165"/>
      <c r="BO46" s="165"/>
      <c r="BP46" s="165"/>
      <c r="BQ46" s="165"/>
      <c r="BR46" s="165"/>
      <c r="BS46" s="165"/>
      <c r="BT46" s="165"/>
      <c r="BU46" s="165"/>
      <c r="BV46" s="165"/>
      <c r="BW46" s="165"/>
      <c r="BX46" s="165"/>
      <c r="BY46" s="165"/>
      <c r="BZ46" s="165"/>
      <c r="CA46" s="165"/>
      <c r="CB46" s="165"/>
      <c r="CC46" s="165"/>
      <c r="CD46" s="165"/>
      <c r="CE46" s="165"/>
      <c r="CF46" s="165"/>
      <c r="CG46" s="165"/>
      <c r="CH46" s="165"/>
      <c r="CI46" s="165"/>
      <c r="CJ46" s="165"/>
      <c r="CK46" s="165"/>
      <c r="CL46" s="165"/>
      <c r="CM46" s="165"/>
      <c r="CN46" s="165"/>
      <c r="CO46" s="165"/>
      <c r="CP46" s="165"/>
      <c r="CQ46" s="165"/>
      <c r="CR46" s="165"/>
      <c r="CS46" s="165"/>
      <c r="CT46" s="165"/>
      <c r="CU46" s="165"/>
      <c r="CV46" s="165"/>
      <c r="CW46" s="165"/>
      <c r="CX46" s="165"/>
      <c r="CY46" s="165"/>
      <c r="CZ46" s="165"/>
      <c r="DA46" s="165"/>
      <c r="DB46" s="165"/>
      <c r="DC46" s="165"/>
      <c r="DD46" s="165"/>
      <c r="DE46" s="166"/>
      <c r="DF46" s="167"/>
    </row>
    <row r="47" spans="1:118" s="144" customFormat="1" ht="12" customHeight="1">
      <c r="A47" s="108" t="s">
        <v>66</v>
      </c>
      <c r="B47" s="168"/>
      <c r="C47" s="168"/>
      <c r="D47" s="16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168"/>
      <c r="S47" s="168"/>
      <c r="T47" s="168"/>
      <c r="U47" s="168"/>
      <c r="V47" s="168"/>
      <c r="W47" s="168"/>
      <c r="X47" s="168"/>
      <c r="Y47" s="168"/>
      <c r="Z47" s="168"/>
      <c r="AA47" s="168"/>
      <c r="AB47" s="168"/>
      <c r="AC47" s="168"/>
      <c r="AD47" s="168"/>
      <c r="AE47" s="168"/>
      <c r="AF47" s="74"/>
      <c r="AG47" s="74"/>
      <c r="AH47" s="168"/>
      <c r="AI47" s="168"/>
      <c r="AJ47" s="168"/>
      <c r="AK47" s="74"/>
      <c r="AL47" s="74"/>
      <c r="AM47" s="168"/>
      <c r="AN47" s="168"/>
      <c r="AO47" s="168"/>
      <c r="AP47" s="97"/>
      <c r="AQ47" s="97"/>
      <c r="AR47" s="97"/>
      <c r="AS47" s="97"/>
      <c r="AT47" s="97"/>
      <c r="AU47" s="97"/>
      <c r="AV47" s="97"/>
      <c r="AW47" s="98"/>
      <c r="AX47" s="97"/>
      <c r="AY47" s="97"/>
      <c r="AZ47" s="97"/>
      <c r="BA47" s="97"/>
      <c r="BB47" s="97"/>
      <c r="BC47" s="97"/>
      <c r="BD47" s="97"/>
      <c r="BE47" s="98"/>
      <c r="BF47" s="98"/>
      <c r="BG47" s="98"/>
      <c r="BH47" s="98"/>
      <c r="BI47" s="98"/>
      <c r="BJ47" s="98"/>
      <c r="BK47" s="168"/>
      <c r="BL47" s="168"/>
      <c r="BM47" s="168"/>
      <c r="BN47" s="98"/>
      <c r="BO47" s="98"/>
      <c r="BP47" s="98"/>
      <c r="BQ47" s="98"/>
      <c r="BR47" s="98"/>
      <c r="BS47" s="168"/>
      <c r="BT47" s="168"/>
      <c r="BU47" s="168"/>
      <c r="BV47" s="168"/>
      <c r="BW47" s="168"/>
      <c r="BX47" s="168"/>
      <c r="BY47" s="168"/>
      <c r="BZ47" s="168"/>
      <c r="CA47" s="168"/>
      <c r="CB47" s="168"/>
      <c r="CC47" s="168"/>
      <c r="CD47" s="168"/>
      <c r="CE47" s="168"/>
      <c r="CF47" s="168"/>
      <c r="CG47" s="168"/>
      <c r="CH47" s="168"/>
      <c r="CI47" s="168"/>
      <c r="CJ47" s="168"/>
      <c r="CK47" s="168"/>
      <c r="CL47" s="168"/>
      <c r="CM47" s="168"/>
      <c r="CN47" s="168"/>
      <c r="CO47" s="168"/>
      <c r="CP47" s="168"/>
      <c r="CQ47" s="168"/>
      <c r="CR47" s="168"/>
      <c r="CS47" s="168"/>
      <c r="CT47" s="168"/>
      <c r="CU47" s="168"/>
      <c r="CV47" s="168"/>
      <c r="CW47" s="168"/>
      <c r="CX47" s="168"/>
      <c r="CY47" s="168"/>
      <c r="CZ47" s="98"/>
      <c r="DA47" s="168"/>
      <c r="DB47" s="168"/>
      <c r="DC47" s="168"/>
      <c r="DD47" s="168"/>
      <c r="DE47" s="168"/>
      <c r="DF47" s="168"/>
    </row>
    <row r="48" spans="1:118" s="134" customFormat="1" ht="12" customHeight="1" thickBot="1">
      <c r="A48" s="250" t="s">
        <v>26</v>
      </c>
      <c r="B48" s="251"/>
      <c r="C48" s="252"/>
      <c r="D48" s="202"/>
      <c r="E48" s="202"/>
      <c r="F48" s="128"/>
      <c r="G48" s="128"/>
      <c r="H48" s="129"/>
      <c r="I48" s="129"/>
      <c r="J48" s="224" t="s">
        <v>364</v>
      </c>
      <c r="K48" s="224" t="s">
        <v>363</v>
      </c>
      <c r="L48" s="224" t="s">
        <v>362</v>
      </c>
      <c r="M48" s="224" t="s">
        <v>361</v>
      </c>
      <c r="N48" s="224" t="s">
        <v>360</v>
      </c>
      <c r="O48" s="224" t="s">
        <v>359</v>
      </c>
      <c r="P48" s="224" t="s">
        <v>358</v>
      </c>
      <c r="Q48" s="224" t="s">
        <v>357</v>
      </c>
      <c r="R48" s="224" t="s">
        <v>356</v>
      </c>
      <c r="S48" s="224" t="s">
        <v>355</v>
      </c>
      <c r="T48" s="224" t="s">
        <v>354</v>
      </c>
      <c r="U48" s="130" t="s">
        <v>259</v>
      </c>
      <c r="V48" s="130" t="s">
        <v>258</v>
      </c>
      <c r="W48" s="130" t="s">
        <v>260</v>
      </c>
      <c r="X48" s="130" t="s">
        <v>261</v>
      </c>
      <c r="Y48" s="130" t="s">
        <v>262</v>
      </c>
      <c r="Z48" s="130" t="s">
        <v>263</v>
      </c>
      <c r="AA48" s="130" t="s">
        <v>264</v>
      </c>
      <c r="AB48" s="130" t="s">
        <v>265</v>
      </c>
      <c r="AC48" s="130" t="s">
        <v>266</v>
      </c>
      <c r="AD48" s="130" t="s">
        <v>267</v>
      </c>
      <c r="AE48" s="130" t="s">
        <v>268</v>
      </c>
      <c r="AF48" s="130" t="s">
        <v>269</v>
      </c>
      <c r="AG48" s="130" t="s">
        <v>270</v>
      </c>
      <c r="AH48" s="130" t="s">
        <v>271</v>
      </c>
      <c r="AI48" s="130" t="s">
        <v>272</v>
      </c>
      <c r="AJ48" s="130" t="s">
        <v>275</v>
      </c>
      <c r="AK48" s="130" t="s">
        <v>273</v>
      </c>
      <c r="AL48" s="130" t="s">
        <v>274</v>
      </c>
      <c r="AM48" s="130" t="s">
        <v>276</v>
      </c>
      <c r="AN48" s="130" t="s">
        <v>277</v>
      </c>
      <c r="AO48" s="130" t="s">
        <v>278</v>
      </c>
      <c r="AP48" s="130" t="s">
        <v>279</v>
      </c>
      <c r="AQ48" s="130" t="s">
        <v>280</v>
      </c>
      <c r="AR48" s="130" t="s">
        <v>281</v>
      </c>
      <c r="AS48" s="130" t="s">
        <v>282</v>
      </c>
      <c r="AT48" s="130" t="s">
        <v>283</v>
      </c>
      <c r="AU48" s="130" t="s">
        <v>284</v>
      </c>
      <c r="AV48" s="130" t="s">
        <v>285</v>
      </c>
      <c r="AW48" s="130" t="s">
        <v>286</v>
      </c>
      <c r="AX48" s="130" t="s">
        <v>287</v>
      </c>
      <c r="AY48" s="130" t="s">
        <v>288</v>
      </c>
      <c r="AZ48" s="130" t="s">
        <v>289</v>
      </c>
      <c r="BA48" s="130" t="s">
        <v>290</v>
      </c>
      <c r="BB48" s="130" t="s">
        <v>291</v>
      </c>
      <c r="BC48" s="130" t="s">
        <v>292</v>
      </c>
      <c r="BD48" s="130" t="s">
        <v>293</v>
      </c>
      <c r="BE48" s="130" t="s">
        <v>294</v>
      </c>
      <c r="BF48" s="130" t="s">
        <v>295</v>
      </c>
      <c r="BG48" s="130" t="s">
        <v>296</v>
      </c>
      <c r="BH48" s="130" t="s">
        <v>297</v>
      </c>
      <c r="BI48" s="130" t="s">
        <v>298</v>
      </c>
      <c r="BJ48" s="130" t="s">
        <v>299</v>
      </c>
      <c r="BK48" s="130" t="s">
        <v>300</v>
      </c>
      <c r="BL48" s="130" t="s">
        <v>301</v>
      </c>
      <c r="BM48" s="130" t="s">
        <v>302</v>
      </c>
      <c r="BN48" s="130" t="s">
        <v>303</v>
      </c>
      <c r="BO48" s="130" t="s">
        <v>304</v>
      </c>
      <c r="BP48" s="130" t="s">
        <v>305</v>
      </c>
      <c r="BQ48" s="130" t="s">
        <v>306</v>
      </c>
      <c r="BR48" s="130" t="s">
        <v>307</v>
      </c>
      <c r="BS48" s="130" t="s">
        <v>308</v>
      </c>
      <c r="BT48" s="130" t="s">
        <v>309</v>
      </c>
      <c r="BU48" s="130" t="s">
        <v>310</v>
      </c>
      <c r="BV48" s="130" t="s">
        <v>311</v>
      </c>
      <c r="BW48" s="130" t="s">
        <v>312</v>
      </c>
      <c r="BX48" s="130" t="s">
        <v>313</v>
      </c>
      <c r="BY48" s="130" t="s">
        <v>314</v>
      </c>
      <c r="BZ48" s="130" t="s">
        <v>315</v>
      </c>
      <c r="CA48" s="130" t="s">
        <v>316</v>
      </c>
      <c r="CB48" s="130" t="s">
        <v>340</v>
      </c>
      <c r="CC48" s="130" t="s">
        <v>317</v>
      </c>
      <c r="CD48" s="130" t="s">
        <v>318</v>
      </c>
      <c r="CE48" s="130" t="s">
        <v>319</v>
      </c>
      <c r="CF48" s="130" t="s">
        <v>320</v>
      </c>
      <c r="CG48" s="130" t="s">
        <v>321</v>
      </c>
      <c r="CH48" s="130" t="s">
        <v>322</v>
      </c>
      <c r="CI48" s="130" t="s">
        <v>323</v>
      </c>
      <c r="CJ48" s="130" t="s">
        <v>324</v>
      </c>
      <c r="CK48" s="130" t="s">
        <v>325</v>
      </c>
      <c r="CL48" s="130" t="s">
        <v>326</v>
      </c>
      <c r="CM48" s="130" t="s">
        <v>327</v>
      </c>
      <c r="CN48" s="130" t="s">
        <v>328</v>
      </c>
      <c r="CO48" s="130" t="s">
        <v>329</v>
      </c>
      <c r="CP48" s="130" t="s">
        <v>330</v>
      </c>
      <c r="CQ48" s="130"/>
      <c r="CR48" s="130" t="s">
        <v>331</v>
      </c>
      <c r="CS48" s="130" t="s">
        <v>332</v>
      </c>
      <c r="CT48" s="130" t="s">
        <v>333</v>
      </c>
      <c r="CU48" s="130" t="s">
        <v>334</v>
      </c>
      <c r="CV48" s="130" t="s">
        <v>335</v>
      </c>
      <c r="CW48" s="130" t="s">
        <v>336</v>
      </c>
      <c r="CX48" s="130" t="s">
        <v>337</v>
      </c>
      <c r="CY48" s="130" t="s">
        <v>338</v>
      </c>
      <c r="CZ48" s="130" t="s">
        <v>339</v>
      </c>
      <c r="DA48" s="130" t="s">
        <v>341</v>
      </c>
      <c r="DB48" s="130" t="s">
        <v>342</v>
      </c>
      <c r="DC48" s="130" t="s">
        <v>344</v>
      </c>
      <c r="DD48" s="130" t="s">
        <v>343</v>
      </c>
      <c r="DE48" s="158"/>
      <c r="DF48" s="159"/>
    </row>
    <row r="49" spans="1:110" s="181" customFormat="1" ht="12" customHeight="1">
      <c r="A49" s="108" t="s">
        <v>28</v>
      </c>
      <c r="B49" s="168"/>
      <c r="C49" s="169"/>
      <c r="D49" s="169"/>
      <c r="E49" s="169"/>
      <c r="F49" s="170"/>
      <c r="G49" s="170"/>
      <c r="H49" s="171"/>
      <c r="I49" s="172"/>
      <c r="J49" s="173"/>
      <c r="K49" s="168"/>
      <c r="L49" s="168"/>
      <c r="M49" s="168"/>
      <c r="N49" s="168"/>
      <c r="O49" s="168"/>
      <c r="P49" s="168"/>
      <c r="Q49" s="168"/>
      <c r="R49" s="168"/>
      <c r="S49" s="168"/>
      <c r="T49" s="168"/>
      <c r="U49" s="174"/>
      <c r="V49" s="174"/>
      <c r="W49" s="174"/>
      <c r="X49" s="168"/>
      <c r="Y49" s="168"/>
      <c r="Z49" s="168"/>
      <c r="AA49" s="168"/>
      <c r="AB49" s="168"/>
      <c r="AC49" s="174"/>
      <c r="AD49" s="168"/>
      <c r="AE49" s="168"/>
      <c r="AF49" s="168"/>
      <c r="AG49" s="168"/>
      <c r="AH49" s="168"/>
      <c r="AI49" s="168"/>
      <c r="AJ49" s="168"/>
      <c r="AK49" s="168"/>
      <c r="AL49" s="168"/>
      <c r="AM49" s="168"/>
      <c r="AN49" s="168"/>
      <c r="AO49" s="168"/>
      <c r="AP49" s="168"/>
      <c r="AQ49" s="168"/>
      <c r="AR49" s="168"/>
      <c r="AS49" s="168"/>
      <c r="AT49" s="168"/>
      <c r="AU49" s="168"/>
      <c r="AV49" s="168"/>
      <c r="AW49" s="168"/>
      <c r="AX49" s="168"/>
      <c r="AY49" s="168"/>
      <c r="AZ49" s="168"/>
      <c r="BA49" s="168"/>
      <c r="BB49" s="168"/>
      <c r="BC49" s="168"/>
      <c r="BD49" s="168"/>
      <c r="BE49" s="168"/>
      <c r="BF49" s="168"/>
      <c r="BG49" s="168"/>
      <c r="BH49" s="168"/>
      <c r="BI49" s="168"/>
      <c r="BJ49" s="168"/>
      <c r="BK49" s="168"/>
      <c r="BL49" s="168"/>
      <c r="BM49" s="168"/>
      <c r="BN49" s="175"/>
      <c r="BO49" s="168"/>
      <c r="BP49" s="168"/>
      <c r="BQ49" s="168"/>
      <c r="BR49" s="168"/>
      <c r="BS49" s="168"/>
      <c r="BT49" s="168"/>
      <c r="BU49" s="168"/>
      <c r="BV49" s="168"/>
      <c r="BW49" s="168"/>
      <c r="BX49" s="176"/>
      <c r="BY49" s="177"/>
      <c r="BZ49" s="177"/>
      <c r="CA49" s="177"/>
      <c r="CB49" s="178"/>
      <c r="CC49" s="168"/>
      <c r="CD49" s="179"/>
      <c r="CE49" s="168"/>
      <c r="CF49" s="168"/>
      <c r="CG49" s="225"/>
      <c r="CH49" s="225"/>
      <c r="CI49" s="168"/>
      <c r="CJ49" s="180"/>
      <c r="CK49" s="168"/>
      <c r="CL49" s="175"/>
      <c r="CM49" s="168"/>
      <c r="CN49" s="175"/>
      <c r="CO49" s="180"/>
      <c r="CP49" s="180"/>
      <c r="CQ49" s="180"/>
      <c r="CR49" s="168"/>
      <c r="CS49" s="168"/>
      <c r="CU49" s="182"/>
      <c r="CV49" s="182"/>
      <c r="CW49" s="183"/>
      <c r="CX49" s="183"/>
      <c r="CY49" s="168"/>
      <c r="CZ49" s="168"/>
      <c r="DA49" s="184"/>
      <c r="DB49" s="184"/>
      <c r="DC49" s="184"/>
      <c r="DD49" s="184"/>
      <c r="DE49" s="168"/>
      <c r="DF49" s="185"/>
    </row>
    <row r="50" spans="1:110" s="181" customFormat="1" ht="12" customHeight="1">
      <c r="A50" s="168"/>
      <c r="B50" s="168"/>
      <c r="C50" s="186"/>
      <c r="D50" s="186"/>
      <c r="E50" s="186"/>
      <c r="F50" s="170"/>
      <c r="G50" s="170"/>
      <c r="H50" s="171"/>
      <c r="I50" s="172"/>
      <c r="J50" s="178"/>
      <c r="K50" s="168"/>
      <c r="L50" s="168"/>
      <c r="M50" s="168"/>
      <c r="N50" s="168"/>
      <c r="O50" s="168"/>
      <c r="P50" s="168"/>
      <c r="Q50" s="168"/>
      <c r="R50" s="168"/>
      <c r="S50" s="168"/>
      <c r="T50" s="168"/>
      <c r="U50" s="174"/>
      <c r="V50" s="174"/>
      <c r="W50" s="174"/>
      <c r="X50" s="178"/>
      <c r="Y50" s="178"/>
      <c r="Z50" s="178"/>
      <c r="AA50" s="178"/>
      <c r="AB50" s="178"/>
      <c r="AC50" s="187"/>
      <c r="AD50" s="178"/>
      <c r="AE50" s="178"/>
      <c r="AF50" s="168"/>
      <c r="AG50" s="168"/>
      <c r="AH50" s="168"/>
      <c r="AI50" s="168"/>
      <c r="AJ50" s="168"/>
      <c r="AK50" s="168"/>
      <c r="AL50" s="168"/>
      <c r="AM50" s="168"/>
      <c r="AN50" s="168"/>
      <c r="AO50" s="168"/>
      <c r="AP50" s="168"/>
      <c r="AQ50" s="168"/>
      <c r="AR50" s="168"/>
      <c r="AS50" s="168"/>
      <c r="AT50" s="168"/>
      <c r="AU50" s="168"/>
      <c r="AV50" s="168"/>
      <c r="AW50" s="168"/>
      <c r="AX50" s="168"/>
      <c r="AY50" s="168"/>
      <c r="AZ50" s="168"/>
      <c r="BA50" s="168"/>
      <c r="BB50" s="168"/>
      <c r="BC50" s="168"/>
      <c r="BD50" s="168"/>
      <c r="BE50" s="168"/>
      <c r="BF50" s="168"/>
      <c r="BG50" s="168"/>
      <c r="BH50" s="168"/>
      <c r="BI50" s="168"/>
      <c r="BJ50" s="168"/>
      <c r="BK50" s="188"/>
      <c r="BL50" s="188"/>
      <c r="BM50" s="188"/>
      <c r="BN50" s="188"/>
      <c r="BO50" s="188"/>
      <c r="BP50" s="188"/>
      <c r="BQ50" s="188"/>
      <c r="BR50" s="188"/>
      <c r="BS50" s="188"/>
      <c r="BT50" s="188"/>
      <c r="BU50" s="188"/>
      <c r="BV50" s="188"/>
      <c r="BW50" s="188"/>
      <c r="BX50" s="188"/>
      <c r="BY50" s="177"/>
      <c r="BZ50" s="177"/>
      <c r="CA50" s="177"/>
      <c r="CB50" s="177"/>
      <c r="CC50" s="168"/>
      <c r="CD50" s="168"/>
      <c r="CE50" s="168"/>
      <c r="CF50" s="168"/>
      <c r="CG50" s="168"/>
      <c r="CH50" s="168"/>
      <c r="CI50" s="168"/>
      <c r="CJ50" s="187"/>
      <c r="CK50" s="188"/>
      <c r="CL50" s="189"/>
      <c r="CM50" s="188"/>
      <c r="CN50" s="189"/>
      <c r="CO50" s="187"/>
      <c r="CP50" s="187"/>
      <c r="CQ50" s="187"/>
      <c r="CR50" s="168"/>
      <c r="CS50" s="168"/>
      <c r="CU50" s="190"/>
      <c r="CV50" s="190"/>
      <c r="CW50" s="191"/>
      <c r="CX50" s="191"/>
      <c r="CY50" s="192"/>
      <c r="CZ50" s="192"/>
      <c r="DA50" s="184"/>
      <c r="DB50" s="184"/>
      <c r="DC50" s="184"/>
      <c r="DD50" s="184"/>
      <c r="DE50" s="193"/>
      <c r="DF50" s="185"/>
    </row>
    <row r="51" spans="1:110">
      <c r="AF51" s="168"/>
      <c r="AG51" s="168"/>
      <c r="AH51" s="168"/>
      <c r="AI51" s="168"/>
      <c r="AJ51" s="168"/>
      <c r="AK51" s="168"/>
      <c r="AL51" s="168"/>
      <c r="AM51" s="168"/>
      <c r="AN51" s="168"/>
      <c r="AO51" s="168"/>
      <c r="AP51" s="168"/>
      <c r="AQ51" s="168"/>
      <c r="AR51" s="168"/>
      <c r="AS51" s="168"/>
      <c r="AT51" s="168"/>
      <c r="AU51" s="168"/>
      <c r="AV51" s="168"/>
      <c r="AW51" s="168"/>
      <c r="AX51" s="168"/>
      <c r="AY51" s="168"/>
      <c r="AZ51" s="168"/>
      <c r="BA51" s="168"/>
      <c r="BB51" s="168"/>
      <c r="BC51" s="168"/>
      <c r="BD51" s="168"/>
      <c r="BE51" s="168"/>
      <c r="BF51" s="168"/>
      <c r="BG51" s="168"/>
      <c r="BH51" s="168"/>
      <c r="BI51" s="168"/>
      <c r="BJ51" s="168"/>
    </row>
    <row r="52" spans="1:110">
      <c r="AF52" s="168"/>
      <c r="AG52" s="168"/>
      <c r="AH52" s="168"/>
      <c r="AI52" s="168"/>
      <c r="AJ52" s="168"/>
      <c r="AK52" s="168"/>
      <c r="AL52" s="168"/>
      <c r="AM52" s="168"/>
      <c r="AN52" s="168"/>
      <c r="AO52" s="168"/>
      <c r="AP52" s="168"/>
      <c r="AQ52" s="168"/>
      <c r="AR52" s="168"/>
      <c r="AS52" s="168"/>
      <c r="AT52" s="168"/>
      <c r="AU52" s="168"/>
      <c r="AV52" s="168"/>
      <c r="AW52" s="168"/>
      <c r="AX52" s="168"/>
      <c r="AY52" s="168"/>
      <c r="AZ52" s="168"/>
      <c r="BA52" s="168"/>
      <c r="BB52" s="168"/>
      <c r="BC52" s="168"/>
      <c r="BD52" s="168"/>
      <c r="BE52" s="168"/>
      <c r="BF52" s="168"/>
      <c r="BG52" s="168"/>
      <c r="BH52" s="168"/>
      <c r="BI52" s="168"/>
      <c r="BJ52" s="168"/>
    </row>
    <row r="53" spans="1:110">
      <c r="AF53" s="168"/>
      <c r="AG53" s="168"/>
      <c r="AH53" s="168"/>
      <c r="AI53" s="168"/>
      <c r="AJ53" s="168"/>
      <c r="AK53" s="168"/>
      <c r="AL53" s="168"/>
      <c r="AM53" s="168"/>
      <c r="AN53" s="168"/>
      <c r="AO53" s="168"/>
      <c r="AP53" s="168"/>
      <c r="AQ53" s="168"/>
      <c r="AR53" s="168"/>
      <c r="AS53" s="168"/>
      <c r="AT53" s="168"/>
      <c r="AU53" s="168"/>
      <c r="AV53" s="168"/>
      <c r="AW53" s="168"/>
      <c r="AX53" s="168"/>
      <c r="AY53" s="168"/>
      <c r="AZ53" s="168"/>
      <c r="BA53" s="168"/>
      <c r="BB53" s="168"/>
      <c r="BC53" s="168"/>
      <c r="BD53" s="168"/>
      <c r="BE53" s="168"/>
      <c r="BF53" s="168"/>
      <c r="BG53" s="168"/>
      <c r="BH53" s="168"/>
      <c r="BI53" s="168"/>
      <c r="BJ53" s="168"/>
    </row>
    <row r="54" spans="1:110">
      <c r="AF54" s="168"/>
      <c r="AG54" s="168"/>
      <c r="AH54" s="168"/>
      <c r="AI54" s="168"/>
      <c r="AJ54" s="168"/>
      <c r="AK54" s="168"/>
      <c r="AL54" s="168"/>
      <c r="AM54" s="168"/>
      <c r="AN54" s="168"/>
      <c r="AO54" s="168"/>
      <c r="AP54" s="168"/>
      <c r="AQ54" s="168"/>
      <c r="AR54" s="168"/>
      <c r="AS54" s="168"/>
      <c r="AT54" s="168"/>
      <c r="AU54" s="168"/>
      <c r="AV54" s="168"/>
      <c r="AW54" s="168"/>
      <c r="AX54" s="168"/>
      <c r="AY54" s="168"/>
      <c r="AZ54" s="168"/>
      <c r="BA54" s="168"/>
      <c r="BB54" s="168"/>
      <c r="BC54" s="168"/>
      <c r="BD54" s="168"/>
      <c r="BE54" s="168"/>
      <c r="BF54" s="168"/>
      <c r="BG54" s="168"/>
      <c r="BH54" s="168"/>
      <c r="BI54" s="168"/>
      <c r="BJ54" s="168"/>
    </row>
    <row r="55" spans="1:110">
      <c r="AF55" s="168"/>
      <c r="AG55" s="168"/>
      <c r="AH55" s="168"/>
      <c r="AI55" s="168"/>
      <c r="AJ55" s="168"/>
      <c r="AK55" s="168"/>
      <c r="AL55" s="168"/>
      <c r="AM55" s="168"/>
      <c r="AN55" s="168"/>
      <c r="AO55" s="168"/>
      <c r="AP55" s="168"/>
      <c r="AQ55" s="168"/>
      <c r="AR55" s="168"/>
      <c r="AS55" s="168"/>
      <c r="AT55" s="168"/>
      <c r="AU55" s="168"/>
      <c r="AV55" s="168"/>
      <c r="AW55" s="168"/>
      <c r="AX55" s="168"/>
      <c r="AY55" s="168"/>
      <c r="AZ55" s="168"/>
      <c r="BA55" s="168"/>
      <c r="BB55" s="168"/>
      <c r="BC55" s="168"/>
      <c r="BD55" s="168"/>
      <c r="BE55" s="168"/>
      <c r="BF55" s="168"/>
      <c r="BG55" s="168"/>
      <c r="BH55" s="168"/>
      <c r="BI55" s="168"/>
      <c r="BJ55" s="168"/>
    </row>
    <row r="56" spans="1:110">
      <c r="AF56" s="168"/>
      <c r="AG56" s="168"/>
      <c r="AH56" s="168"/>
      <c r="AI56" s="168"/>
      <c r="AJ56" s="168"/>
      <c r="AK56" s="168"/>
      <c r="AL56" s="168"/>
      <c r="AM56" s="168"/>
      <c r="AN56" s="168"/>
      <c r="AO56" s="168"/>
      <c r="AP56" s="168"/>
      <c r="AQ56" s="168"/>
      <c r="AR56" s="168"/>
      <c r="AS56" s="168"/>
      <c r="AT56" s="168"/>
      <c r="AU56" s="168"/>
      <c r="AV56" s="168"/>
      <c r="AW56" s="168"/>
      <c r="AX56" s="168"/>
      <c r="AY56" s="168"/>
      <c r="AZ56" s="168"/>
      <c r="BA56" s="168"/>
      <c r="BB56" s="168"/>
      <c r="BC56" s="168"/>
      <c r="BD56" s="168"/>
      <c r="BE56" s="168"/>
      <c r="BF56" s="168"/>
      <c r="BG56" s="168"/>
      <c r="BH56" s="168"/>
      <c r="BI56" s="168"/>
      <c r="BJ56" s="168"/>
    </row>
    <row r="57" spans="1:110">
      <c r="AF57" s="168"/>
      <c r="AG57" s="168"/>
      <c r="AH57" s="168"/>
      <c r="AI57" s="168"/>
      <c r="AJ57" s="168"/>
      <c r="AK57" s="168"/>
      <c r="AL57" s="168"/>
      <c r="AM57" s="168"/>
      <c r="AN57" s="168"/>
      <c r="AO57" s="168"/>
      <c r="AP57" s="168"/>
      <c r="AQ57" s="168"/>
      <c r="AR57" s="168"/>
      <c r="AS57" s="168"/>
      <c r="AT57" s="168"/>
      <c r="AU57" s="168"/>
      <c r="AV57" s="168"/>
      <c r="AW57" s="168"/>
      <c r="AX57" s="168"/>
      <c r="AY57" s="168"/>
      <c r="AZ57" s="168"/>
      <c r="BA57" s="168"/>
      <c r="BB57" s="168"/>
      <c r="BC57" s="168"/>
      <c r="BD57" s="168"/>
      <c r="BE57" s="168"/>
      <c r="BF57" s="168"/>
      <c r="BG57" s="168"/>
      <c r="BH57" s="168"/>
      <c r="BI57" s="168"/>
      <c r="BJ57" s="168"/>
    </row>
    <row r="58" spans="1:110">
      <c r="AF58" s="168"/>
      <c r="AG58" s="168"/>
      <c r="AH58" s="168"/>
      <c r="AI58" s="168"/>
      <c r="AJ58" s="168"/>
      <c r="AK58" s="168"/>
      <c r="AL58" s="168"/>
      <c r="AM58" s="168"/>
      <c r="AN58" s="168"/>
      <c r="AO58" s="168"/>
      <c r="AP58" s="168"/>
      <c r="AQ58" s="168"/>
      <c r="AR58" s="168"/>
      <c r="AS58" s="168"/>
      <c r="AT58" s="168"/>
      <c r="AU58" s="168"/>
      <c r="AV58" s="168"/>
      <c r="AW58" s="168"/>
      <c r="AX58" s="168"/>
      <c r="AY58" s="168"/>
      <c r="AZ58" s="168"/>
      <c r="BA58" s="168"/>
      <c r="BB58" s="168"/>
      <c r="BC58" s="168"/>
      <c r="BD58" s="168"/>
      <c r="BE58" s="168"/>
      <c r="BF58" s="168"/>
      <c r="BG58" s="168"/>
      <c r="BH58" s="168"/>
      <c r="BI58" s="168"/>
      <c r="BJ58" s="168"/>
    </row>
    <row r="59" spans="1:110">
      <c r="AF59" s="168"/>
      <c r="AG59" s="168"/>
      <c r="AH59" s="168"/>
      <c r="AI59" s="168"/>
      <c r="AJ59" s="168"/>
      <c r="AK59" s="168"/>
      <c r="AL59" s="168"/>
      <c r="AM59" s="168"/>
      <c r="AN59" s="168"/>
      <c r="AO59" s="168"/>
      <c r="AP59" s="168"/>
      <c r="AQ59" s="168"/>
      <c r="AR59" s="168"/>
      <c r="AS59" s="168"/>
      <c r="AT59" s="168"/>
      <c r="AU59" s="168"/>
      <c r="AV59" s="168"/>
      <c r="AW59" s="168"/>
      <c r="AX59" s="168"/>
      <c r="AY59" s="168"/>
      <c r="AZ59" s="168"/>
      <c r="BA59" s="168"/>
      <c r="BB59" s="168"/>
      <c r="BC59" s="168"/>
      <c r="BD59" s="168"/>
      <c r="BE59" s="168"/>
      <c r="BF59" s="168"/>
      <c r="BG59" s="168"/>
      <c r="BH59" s="168"/>
      <c r="BI59" s="168"/>
      <c r="BJ59" s="168"/>
    </row>
    <row r="60" spans="1:110">
      <c r="AF60" s="168"/>
      <c r="AG60" s="168"/>
      <c r="AH60" s="168"/>
      <c r="AI60" s="168"/>
      <c r="AJ60" s="168"/>
      <c r="AK60" s="168"/>
      <c r="AL60" s="168"/>
      <c r="AM60" s="168"/>
      <c r="AN60" s="168"/>
      <c r="AO60" s="168"/>
      <c r="AP60" s="168"/>
      <c r="AQ60" s="168"/>
      <c r="AR60" s="168"/>
      <c r="AS60" s="168"/>
      <c r="AT60" s="168"/>
      <c r="AU60" s="168"/>
      <c r="AV60" s="168"/>
      <c r="AW60" s="168"/>
      <c r="AX60" s="168"/>
      <c r="AY60" s="168"/>
      <c r="AZ60" s="168"/>
      <c r="BA60" s="168"/>
      <c r="BB60" s="168"/>
      <c r="BC60" s="168"/>
      <c r="BD60" s="168"/>
      <c r="BE60" s="168"/>
      <c r="BF60" s="168"/>
      <c r="BG60" s="168"/>
      <c r="BH60" s="168"/>
      <c r="BI60" s="168"/>
      <c r="BJ60" s="168"/>
    </row>
    <row r="61" spans="1:110">
      <c r="AF61" s="168"/>
      <c r="AG61" s="168"/>
      <c r="AH61" s="168"/>
      <c r="AI61" s="168"/>
      <c r="AJ61" s="168"/>
      <c r="AK61" s="168"/>
      <c r="AL61" s="168"/>
      <c r="AM61" s="168"/>
      <c r="AN61" s="168"/>
      <c r="AO61" s="168"/>
      <c r="AP61" s="168"/>
      <c r="AQ61" s="168"/>
      <c r="AR61" s="168"/>
      <c r="AS61" s="168"/>
      <c r="AT61" s="168"/>
      <c r="AU61" s="168"/>
      <c r="AV61" s="168"/>
      <c r="AW61" s="168"/>
      <c r="AX61" s="168"/>
      <c r="AY61" s="168"/>
      <c r="AZ61" s="168"/>
      <c r="BA61" s="168"/>
      <c r="BB61" s="168"/>
      <c r="BC61" s="168"/>
      <c r="BD61" s="168"/>
      <c r="BE61" s="168"/>
      <c r="BF61" s="168"/>
      <c r="BG61" s="168"/>
      <c r="BH61" s="168"/>
      <c r="BI61" s="168"/>
      <c r="BJ61" s="168"/>
    </row>
    <row r="62" spans="1:110">
      <c r="AF62" s="168"/>
      <c r="AG62" s="168"/>
      <c r="AH62" s="168"/>
      <c r="AI62" s="168"/>
      <c r="AJ62" s="168"/>
      <c r="AK62" s="168"/>
      <c r="AL62" s="168"/>
      <c r="AM62" s="168"/>
      <c r="AN62" s="168"/>
      <c r="AO62" s="168"/>
      <c r="AP62" s="168"/>
      <c r="AQ62" s="168"/>
      <c r="AR62" s="168"/>
      <c r="AS62" s="168"/>
      <c r="AT62" s="168"/>
      <c r="AU62" s="168"/>
      <c r="AV62" s="168"/>
      <c r="AW62" s="168"/>
      <c r="AX62" s="168"/>
      <c r="AY62" s="168"/>
      <c r="AZ62" s="168"/>
      <c r="BA62" s="168"/>
      <c r="BB62" s="168"/>
      <c r="BC62" s="168"/>
      <c r="BD62" s="168"/>
      <c r="BE62" s="168"/>
      <c r="BF62" s="168"/>
      <c r="BG62" s="168"/>
      <c r="BH62" s="168"/>
      <c r="BI62" s="168"/>
      <c r="BJ62" s="168"/>
    </row>
    <row r="63" spans="1:110">
      <c r="AF63" s="168"/>
      <c r="AG63" s="168"/>
      <c r="AH63" s="168"/>
      <c r="AI63" s="168"/>
      <c r="AJ63" s="168"/>
      <c r="AK63" s="168"/>
      <c r="AL63" s="168"/>
      <c r="AM63" s="168"/>
      <c r="AN63" s="168"/>
      <c r="AO63" s="168"/>
      <c r="AP63" s="168"/>
      <c r="AQ63" s="168"/>
      <c r="AR63" s="168"/>
      <c r="AS63" s="168"/>
      <c r="AT63" s="168"/>
      <c r="AU63" s="168"/>
      <c r="AV63" s="168"/>
      <c r="AW63" s="168"/>
      <c r="AX63" s="168"/>
      <c r="AY63" s="168"/>
      <c r="AZ63" s="168"/>
      <c r="BA63" s="168"/>
      <c r="BB63" s="168"/>
      <c r="BC63" s="168"/>
      <c r="BD63" s="168"/>
      <c r="BE63" s="168"/>
      <c r="BF63" s="168"/>
      <c r="BG63" s="168"/>
      <c r="BH63" s="168"/>
      <c r="BI63" s="168"/>
      <c r="BJ63" s="168"/>
    </row>
    <row r="64" spans="1:110">
      <c r="AF64" s="168"/>
      <c r="AG64" s="168"/>
      <c r="AH64" s="168"/>
      <c r="AI64" s="168"/>
      <c r="AJ64" s="168"/>
      <c r="AK64" s="168"/>
      <c r="AL64" s="168"/>
      <c r="AM64" s="168"/>
      <c r="AN64" s="168"/>
      <c r="AO64" s="168"/>
      <c r="AP64" s="168"/>
      <c r="AQ64" s="168"/>
      <c r="AR64" s="168"/>
      <c r="AS64" s="168"/>
      <c r="AT64" s="168"/>
      <c r="AU64" s="168"/>
      <c r="AV64" s="168"/>
      <c r="AW64" s="168"/>
      <c r="AX64" s="168"/>
      <c r="AY64" s="168"/>
      <c r="AZ64" s="168"/>
      <c r="BA64" s="168"/>
      <c r="BB64" s="168"/>
      <c r="BC64" s="168"/>
      <c r="BD64" s="168"/>
      <c r="BE64" s="168"/>
      <c r="BF64" s="168"/>
      <c r="BG64" s="168"/>
      <c r="BH64" s="168"/>
      <c r="BI64" s="168"/>
      <c r="BJ64" s="168"/>
    </row>
    <row r="65" spans="32:62">
      <c r="AF65" s="168"/>
      <c r="AG65" s="168"/>
      <c r="AH65" s="168"/>
      <c r="AI65" s="168"/>
      <c r="AJ65" s="168"/>
      <c r="AK65" s="168"/>
      <c r="AL65" s="168"/>
      <c r="AM65" s="168"/>
      <c r="AN65" s="168"/>
      <c r="AO65" s="168"/>
      <c r="AP65" s="168"/>
      <c r="AQ65" s="168"/>
      <c r="AR65" s="168"/>
      <c r="AS65" s="168"/>
      <c r="AT65" s="168"/>
      <c r="AU65" s="168"/>
      <c r="AV65" s="168"/>
      <c r="AW65" s="168"/>
      <c r="AX65" s="168"/>
      <c r="AY65" s="168"/>
      <c r="AZ65" s="168"/>
      <c r="BA65" s="168"/>
      <c r="BB65" s="168"/>
      <c r="BC65" s="168"/>
      <c r="BD65" s="168"/>
      <c r="BE65" s="168"/>
      <c r="BF65" s="168"/>
      <c r="BG65" s="168"/>
      <c r="BH65" s="168"/>
      <c r="BI65" s="168"/>
      <c r="BJ65" s="168"/>
    </row>
    <row r="66" spans="32:62">
      <c r="AF66" s="168"/>
      <c r="AG66" s="168"/>
      <c r="AH66" s="168"/>
      <c r="AI66" s="168"/>
      <c r="AJ66" s="168"/>
      <c r="AK66" s="168"/>
      <c r="AL66" s="168"/>
      <c r="AM66" s="168"/>
      <c r="AN66" s="168"/>
      <c r="AO66" s="168"/>
      <c r="AP66" s="168"/>
      <c r="AQ66" s="168"/>
      <c r="AR66" s="168"/>
      <c r="AS66" s="168"/>
      <c r="AT66" s="168"/>
      <c r="AU66" s="168"/>
      <c r="AV66" s="168"/>
      <c r="AW66" s="168"/>
      <c r="AX66" s="168"/>
      <c r="AY66" s="168"/>
      <c r="AZ66" s="168"/>
      <c r="BA66" s="168"/>
      <c r="BB66" s="168"/>
      <c r="BC66" s="168"/>
      <c r="BD66" s="168"/>
      <c r="BE66" s="168"/>
      <c r="BF66" s="168"/>
      <c r="BG66" s="168"/>
      <c r="BH66" s="168"/>
      <c r="BI66" s="168"/>
      <c r="BJ66" s="168"/>
    </row>
    <row r="67" spans="32:62">
      <c r="AF67" s="168"/>
      <c r="AG67" s="168"/>
      <c r="AH67" s="168"/>
      <c r="AI67" s="168"/>
      <c r="AJ67" s="168"/>
      <c r="AK67" s="168"/>
      <c r="AL67" s="168"/>
      <c r="AM67" s="168"/>
      <c r="AN67" s="168"/>
      <c r="AO67" s="168"/>
      <c r="AP67" s="168"/>
      <c r="AQ67" s="168"/>
      <c r="AR67" s="168"/>
      <c r="AS67" s="168"/>
      <c r="AT67" s="168"/>
      <c r="AU67" s="168"/>
      <c r="AV67" s="168"/>
      <c r="AW67" s="168"/>
      <c r="AX67" s="168"/>
      <c r="AY67" s="168"/>
      <c r="AZ67" s="168"/>
      <c r="BA67" s="168"/>
      <c r="BB67" s="168"/>
      <c r="BC67" s="168"/>
      <c r="BD67" s="168"/>
      <c r="BE67" s="168"/>
      <c r="BF67" s="168"/>
      <c r="BG67" s="168"/>
      <c r="BH67" s="168"/>
      <c r="BI67" s="168"/>
      <c r="BJ67" s="168"/>
    </row>
    <row r="68" spans="32:62">
      <c r="AF68" s="168"/>
      <c r="AG68" s="168"/>
      <c r="AH68" s="168"/>
      <c r="AI68" s="168"/>
      <c r="AJ68" s="168"/>
      <c r="AK68" s="168"/>
      <c r="AL68" s="168"/>
      <c r="AM68" s="168"/>
      <c r="AN68" s="168"/>
      <c r="AO68" s="168"/>
      <c r="AP68" s="168"/>
      <c r="AQ68" s="168"/>
      <c r="AR68" s="168"/>
      <c r="AS68" s="168"/>
      <c r="AT68" s="168"/>
      <c r="AU68" s="168"/>
      <c r="AV68" s="168"/>
      <c r="AW68" s="168"/>
      <c r="AX68" s="168"/>
      <c r="AY68" s="168"/>
      <c r="AZ68" s="168"/>
      <c r="BA68" s="168"/>
      <c r="BB68" s="168"/>
      <c r="BC68" s="168"/>
      <c r="BD68" s="168"/>
      <c r="BE68" s="168"/>
      <c r="BF68" s="168"/>
      <c r="BG68" s="168"/>
      <c r="BH68" s="168"/>
      <c r="BI68" s="168"/>
      <c r="BJ68" s="168"/>
    </row>
    <row r="69" spans="32:62">
      <c r="AF69" s="168"/>
      <c r="AG69" s="168"/>
      <c r="AH69" s="168"/>
      <c r="AI69" s="168"/>
      <c r="AJ69" s="168"/>
      <c r="AK69" s="168"/>
      <c r="AL69" s="168"/>
      <c r="AM69" s="168"/>
      <c r="AN69" s="168"/>
      <c r="AO69" s="168"/>
      <c r="AP69" s="168"/>
      <c r="AQ69" s="168"/>
      <c r="AR69" s="168"/>
      <c r="AS69" s="168"/>
      <c r="AT69" s="168"/>
      <c r="AU69" s="168"/>
      <c r="AV69" s="168"/>
      <c r="AW69" s="168"/>
      <c r="AX69" s="168"/>
      <c r="AY69" s="168"/>
      <c r="AZ69" s="168"/>
      <c r="BA69" s="168"/>
      <c r="BB69" s="168"/>
      <c r="BC69" s="168"/>
      <c r="BD69" s="168"/>
      <c r="BE69" s="168"/>
      <c r="BF69" s="168"/>
      <c r="BG69" s="168"/>
      <c r="BH69" s="168"/>
      <c r="BI69" s="168"/>
      <c r="BJ69" s="168"/>
    </row>
    <row r="70" spans="32:62">
      <c r="AF70" s="168"/>
      <c r="AG70" s="168"/>
      <c r="AH70" s="168"/>
      <c r="AI70" s="168"/>
      <c r="AJ70" s="168"/>
      <c r="AK70" s="168"/>
      <c r="AL70" s="168"/>
      <c r="AM70" s="168"/>
      <c r="AN70" s="168"/>
      <c r="AO70" s="168"/>
      <c r="AP70" s="168"/>
      <c r="AQ70" s="168"/>
      <c r="AR70" s="168"/>
      <c r="AS70" s="168"/>
      <c r="AT70" s="168"/>
      <c r="AU70" s="168"/>
      <c r="AV70" s="168"/>
      <c r="AW70" s="168"/>
      <c r="AX70" s="168"/>
      <c r="AY70" s="168"/>
      <c r="AZ70" s="168"/>
      <c r="BA70" s="168"/>
      <c r="BB70" s="168"/>
      <c r="BC70" s="168"/>
      <c r="BD70" s="168"/>
      <c r="BE70" s="168"/>
      <c r="BF70" s="168"/>
      <c r="BG70" s="168"/>
      <c r="BH70" s="168"/>
      <c r="BI70" s="168"/>
      <c r="BJ70" s="168"/>
    </row>
    <row r="71" spans="32:62">
      <c r="AF71" s="168"/>
      <c r="AG71" s="168"/>
      <c r="AH71" s="168"/>
      <c r="AI71" s="168"/>
      <c r="AJ71" s="168"/>
      <c r="AK71" s="168"/>
      <c r="AL71" s="168"/>
      <c r="AM71" s="168"/>
      <c r="AN71" s="168"/>
      <c r="AO71" s="168"/>
      <c r="AP71" s="168"/>
      <c r="AQ71" s="168"/>
      <c r="AR71" s="168"/>
      <c r="AS71" s="168"/>
      <c r="AT71" s="168"/>
      <c r="AU71" s="168"/>
      <c r="AV71" s="168"/>
      <c r="AW71" s="168"/>
      <c r="AX71" s="168"/>
      <c r="AY71" s="168"/>
      <c r="AZ71" s="168"/>
      <c r="BA71" s="168"/>
      <c r="BB71" s="168"/>
      <c r="BC71" s="168"/>
      <c r="BD71" s="168"/>
      <c r="BE71" s="168"/>
      <c r="BF71" s="168"/>
      <c r="BG71" s="168"/>
      <c r="BH71" s="168"/>
      <c r="BI71" s="168"/>
      <c r="BJ71" s="168"/>
    </row>
    <row r="72" spans="32:62">
      <c r="AF72" s="168"/>
      <c r="AG72" s="168"/>
      <c r="AH72" s="168"/>
      <c r="AI72" s="168"/>
      <c r="AJ72" s="168"/>
      <c r="AK72" s="168"/>
      <c r="AL72" s="168"/>
      <c r="AM72" s="168"/>
      <c r="AN72" s="168"/>
      <c r="AO72" s="168"/>
      <c r="AP72" s="168"/>
      <c r="AQ72" s="168"/>
      <c r="AR72" s="168"/>
      <c r="AS72" s="168"/>
      <c r="AT72" s="168"/>
      <c r="AU72" s="168"/>
      <c r="AV72" s="168"/>
      <c r="AW72" s="168"/>
      <c r="AX72" s="168"/>
      <c r="AY72" s="168"/>
      <c r="AZ72" s="168"/>
      <c r="BA72" s="168"/>
      <c r="BB72" s="168"/>
      <c r="BC72" s="168"/>
      <c r="BD72" s="168"/>
      <c r="BE72" s="168"/>
      <c r="BF72" s="168"/>
      <c r="BG72" s="168"/>
      <c r="BH72" s="168"/>
      <c r="BI72" s="168"/>
      <c r="BJ72" s="168"/>
    </row>
    <row r="73" spans="32:62">
      <c r="AF73" s="168"/>
      <c r="AG73" s="168"/>
      <c r="AH73" s="168"/>
      <c r="AI73" s="168"/>
      <c r="AJ73" s="168"/>
      <c r="AK73" s="168"/>
      <c r="AL73" s="168"/>
      <c r="AM73" s="168"/>
      <c r="AN73" s="168"/>
      <c r="AO73" s="168"/>
      <c r="AP73" s="168"/>
      <c r="AQ73" s="168"/>
      <c r="AR73" s="168"/>
      <c r="AS73" s="168"/>
      <c r="AT73" s="168"/>
      <c r="AU73" s="168"/>
      <c r="AV73" s="168"/>
      <c r="AW73" s="168"/>
      <c r="AX73" s="168"/>
      <c r="AY73" s="168"/>
      <c r="AZ73" s="168"/>
      <c r="BA73" s="168"/>
      <c r="BB73" s="168"/>
      <c r="BC73" s="168"/>
      <c r="BD73" s="168"/>
      <c r="BE73" s="168"/>
      <c r="BF73" s="168"/>
      <c r="BG73" s="168"/>
      <c r="BH73" s="168"/>
      <c r="BI73" s="168"/>
      <c r="BJ73" s="168"/>
    </row>
    <row r="74" spans="32:62">
      <c r="AF74" s="168"/>
      <c r="AG74" s="168"/>
      <c r="AH74" s="168"/>
      <c r="AI74" s="168"/>
      <c r="AJ74" s="168"/>
      <c r="AK74" s="168"/>
      <c r="AL74" s="168"/>
      <c r="AM74" s="168"/>
      <c r="AN74" s="168"/>
      <c r="AO74" s="168"/>
      <c r="AP74" s="168"/>
      <c r="AQ74" s="168"/>
      <c r="AR74" s="168"/>
      <c r="AS74" s="168"/>
      <c r="AT74" s="168"/>
      <c r="AU74" s="168"/>
      <c r="AV74" s="168"/>
      <c r="AW74" s="168"/>
      <c r="AX74" s="168"/>
      <c r="AY74" s="168"/>
      <c r="AZ74" s="168"/>
      <c r="BA74" s="168"/>
      <c r="BB74" s="168"/>
      <c r="BC74" s="168"/>
      <c r="BD74" s="168"/>
      <c r="BE74" s="168"/>
      <c r="BF74" s="168"/>
      <c r="BG74" s="168"/>
      <c r="BH74" s="168"/>
      <c r="BI74" s="168"/>
      <c r="BJ74" s="168"/>
    </row>
    <row r="75" spans="32:62">
      <c r="AF75" s="168"/>
      <c r="AG75" s="168"/>
      <c r="AH75" s="168"/>
      <c r="AI75" s="168"/>
      <c r="AJ75" s="168"/>
      <c r="AK75" s="168"/>
      <c r="AL75" s="168"/>
      <c r="AM75" s="168"/>
      <c r="AN75" s="168"/>
      <c r="AO75" s="168"/>
      <c r="AP75" s="168"/>
      <c r="AQ75" s="168"/>
      <c r="AR75" s="168"/>
      <c r="AS75" s="168"/>
      <c r="AT75" s="168"/>
      <c r="AU75" s="168"/>
      <c r="AV75" s="168"/>
      <c r="AW75" s="168"/>
      <c r="AX75" s="168"/>
      <c r="AY75" s="168"/>
      <c r="AZ75" s="168"/>
      <c r="BA75" s="168"/>
      <c r="BB75" s="168"/>
      <c r="BC75" s="168"/>
      <c r="BD75" s="168"/>
      <c r="BE75" s="168"/>
      <c r="BF75" s="168"/>
      <c r="BG75" s="168"/>
      <c r="BH75" s="168"/>
      <c r="BI75" s="168"/>
      <c r="BJ75" s="168"/>
    </row>
    <row r="76" spans="32:62">
      <c r="AF76" s="168"/>
      <c r="AG76" s="168"/>
      <c r="AH76" s="168"/>
      <c r="AI76" s="168"/>
      <c r="AJ76" s="168"/>
      <c r="AK76" s="168"/>
      <c r="AL76" s="168"/>
      <c r="AM76" s="168"/>
      <c r="AN76" s="168"/>
      <c r="AO76" s="168"/>
      <c r="AP76" s="168"/>
      <c r="AQ76" s="168"/>
      <c r="AR76" s="168"/>
      <c r="AS76" s="168"/>
      <c r="AT76" s="168"/>
      <c r="AU76" s="168"/>
      <c r="AV76" s="168"/>
      <c r="AW76" s="168"/>
      <c r="AX76" s="168"/>
      <c r="AY76" s="168"/>
      <c r="AZ76" s="168"/>
      <c r="BA76" s="168"/>
      <c r="BB76" s="168"/>
      <c r="BC76" s="168"/>
      <c r="BD76" s="168"/>
      <c r="BE76" s="168"/>
      <c r="BF76" s="168"/>
      <c r="BG76" s="168"/>
      <c r="BH76" s="168"/>
      <c r="BI76" s="168"/>
      <c r="BJ76" s="168"/>
    </row>
    <row r="77" spans="32:62">
      <c r="AF77" s="168"/>
      <c r="AG77" s="168"/>
      <c r="AH77" s="168"/>
      <c r="AI77" s="168"/>
      <c r="AJ77" s="168"/>
      <c r="AK77" s="168"/>
      <c r="AL77" s="168"/>
      <c r="AM77" s="168"/>
      <c r="AN77" s="168"/>
      <c r="AO77" s="168"/>
      <c r="AP77" s="168"/>
      <c r="AQ77" s="168"/>
      <c r="AR77" s="168"/>
      <c r="AS77" s="168"/>
      <c r="AT77" s="168"/>
      <c r="AU77" s="168"/>
      <c r="AV77" s="168"/>
      <c r="AW77" s="168"/>
      <c r="AX77" s="168"/>
      <c r="AY77" s="168"/>
      <c r="AZ77" s="168"/>
      <c r="BA77" s="168"/>
      <c r="BB77" s="168"/>
      <c r="BC77" s="168"/>
      <c r="BD77" s="168"/>
      <c r="BE77" s="168"/>
      <c r="BF77" s="168"/>
      <c r="BG77" s="168"/>
      <c r="BH77" s="168"/>
      <c r="BI77" s="168"/>
      <c r="BJ77" s="168"/>
    </row>
    <row r="78" spans="32:62">
      <c r="AF78" s="168"/>
      <c r="AG78" s="168"/>
      <c r="AH78" s="168"/>
      <c r="AI78" s="168"/>
      <c r="AJ78" s="168"/>
      <c r="AK78" s="168"/>
      <c r="AL78" s="168"/>
      <c r="AM78" s="168"/>
      <c r="AN78" s="168"/>
      <c r="AO78" s="168"/>
      <c r="AP78" s="168"/>
      <c r="AQ78" s="168"/>
      <c r="AR78" s="168"/>
      <c r="AS78" s="168"/>
      <c r="AT78" s="168"/>
      <c r="AU78" s="168"/>
      <c r="AV78" s="168"/>
      <c r="AW78" s="168"/>
      <c r="AX78" s="168"/>
      <c r="AY78" s="168"/>
      <c r="AZ78" s="168"/>
      <c r="BA78" s="168"/>
      <c r="BB78" s="168"/>
      <c r="BC78" s="168"/>
      <c r="BD78" s="168"/>
      <c r="BE78" s="168"/>
      <c r="BF78" s="168"/>
      <c r="BG78" s="168"/>
      <c r="BH78" s="168"/>
      <c r="BI78" s="168"/>
      <c r="BJ78" s="168"/>
    </row>
    <row r="79" spans="32:62">
      <c r="AF79" s="168"/>
      <c r="AG79" s="168"/>
      <c r="AH79" s="168"/>
      <c r="AI79" s="168"/>
      <c r="AJ79" s="168"/>
      <c r="AK79" s="168"/>
      <c r="AL79" s="168"/>
      <c r="AM79" s="168"/>
      <c r="AN79" s="168"/>
      <c r="AO79" s="168"/>
      <c r="AP79" s="168"/>
      <c r="AQ79" s="168"/>
      <c r="AR79" s="168"/>
      <c r="AS79" s="168"/>
      <c r="AT79" s="168"/>
      <c r="AU79" s="168"/>
      <c r="AV79" s="168"/>
      <c r="AW79" s="168"/>
      <c r="AX79" s="168"/>
      <c r="AY79" s="168"/>
      <c r="AZ79" s="168"/>
      <c r="BA79" s="168"/>
      <c r="BB79" s="168"/>
      <c r="BC79" s="168"/>
      <c r="BD79" s="168"/>
      <c r="BE79" s="168"/>
      <c r="BF79" s="168"/>
      <c r="BG79" s="168"/>
      <c r="BH79" s="168"/>
      <c r="BI79" s="168"/>
      <c r="BJ79" s="168"/>
    </row>
    <row r="80" spans="32:62">
      <c r="AF80" s="168"/>
      <c r="AG80" s="168"/>
      <c r="AH80" s="168"/>
      <c r="AI80" s="168"/>
      <c r="AJ80" s="168"/>
      <c r="AK80" s="168"/>
      <c r="AL80" s="168"/>
      <c r="AM80" s="168"/>
      <c r="AN80" s="168"/>
      <c r="AO80" s="168"/>
      <c r="AP80" s="168"/>
      <c r="AQ80" s="168"/>
      <c r="AR80" s="168"/>
      <c r="AS80" s="168"/>
      <c r="AT80" s="168"/>
      <c r="AU80" s="168"/>
      <c r="AV80" s="168"/>
      <c r="AW80" s="168"/>
      <c r="AX80" s="168"/>
      <c r="AY80" s="168"/>
      <c r="AZ80" s="168"/>
      <c r="BA80" s="168"/>
      <c r="BB80" s="168"/>
      <c r="BC80" s="168"/>
      <c r="BD80" s="168"/>
      <c r="BE80" s="168"/>
      <c r="BF80" s="168"/>
      <c r="BG80" s="168"/>
      <c r="BH80" s="168"/>
      <c r="BI80" s="168"/>
      <c r="BJ80" s="168"/>
    </row>
    <row r="81" spans="32:62">
      <c r="AF81" s="168"/>
      <c r="AG81" s="168"/>
      <c r="AH81" s="168"/>
      <c r="AI81" s="168"/>
      <c r="AJ81" s="168"/>
      <c r="AK81" s="168"/>
      <c r="AL81" s="168"/>
      <c r="AM81" s="168"/>
      <c r="AN81" s="168"/>
      <c r="AO81" s="168"/>
      <c r="AP81" s="168"/>
      <c r="AQ81" s="168"/>
      <c r="AR81" s="168"/>
      <c r="AS81" s="168"/>
      <c r="AT81" s="168"/>
      <c r="AU81" s="168"/>
      <c r="AV81" s="168"/>
      <c r="AW81" s="168"/>
      <c r="AX81" s="168"/>
      <c r="AY81" s="168"/>
      <c r="AZ81" s="168"/>
      <c r="BA81" s="168"/>
      <c r="BB81" s="168"/>
      <c r="BC81" s="168"/>
      <c r="BD81" s="168"/>
      <c r="BE81" s="168"/>
      <c r="BF81" s="168"/>
      <c r="BG81" s="168"/>
      <c r="BH81" s="168"/>
      <c r="BI81" s="168"/>
      <c r="BJ81" s="168"/>
    </row>
    <row r="82" spans="32:62">
      <c r="AF82" s="168"/>
      <c r="AG82" s="168"/>
      <c r="AH82" s="168"/>
      <c r="AI82" s="168"/>
      <c r="AJ82" s="168"/>
      <c r="AK82" s="168"/>
      <c r="AL82" s="168"/>
      <c r="AM82" s="168"/>
      <c r="AN82" s="168"/>
      <c r="AO82" s="168"/>
      <c r="AP82" s="168"/>
      <c r="AQ82" s="168"/>
      <c r="AR82" s="168"/>
      <c r="AS82" s="168"/>
      <c r="AT82" s="168"/>
      <c r="AU82" s="168"/>
      <c r="AV82" s="168"/>
      <c r="AW82" s="168"/>
      <c r="AX82" s="168"/>
      <c r="AY82" s="168"/>
      <c r="AZ82" s="168"/>
      <c r="BA82" s="168"/>
      <c r="BB82" s="168"/>
      <c r="BC82" s="168"/>
      <c r="BD82" s="168"/>
      <c r="BE82" s="168"/>
      <c r="BF82" s="168"/>
      <c r="BG82" s="168"/>
      <c r="BH82" s="168"/>
      <c r="BI82" s="168"/>
      <c r="BJ82" s="168"/>
    </row>
    <row r="83" spans="32:62">
      <c r="AF83" s="168"/>
      <c r="AG83" s="168"/>
      <c r="AH83" s="168"/>
      <c r="AI83" s="168"/>
      <c r="AJ83" s="168"/>
      <c r="AK83" s="168"/>
      <c r="AL83" s="168"/>
      <c r="AM83" s="168"/>
      <c r="AN83" s="168"/>
      <c r="AO83" s="168"/>
      <c r="AP83" s="168"/>
      <c r="AQ83" s="168"/>
      <c r="AR83" s="168"/>
      <c r="AS83" s="168"/>
      <c r="AT83" s="168"/>
      <c r="AU83" s="168"/>
      <c r="AV83" s="168"/>
      <c r="AW83" s="168"/>
      <c r="AX83" s="168"/>
      <c r="AY83" s="168"/>
      <c r="AZ83" s="168"/>
      <c r="BA83" s="168"/>
      <c r="BB83" s="168"/>
      <c r="BC83" s="168"/>
      <c r="BD83" s="168"/>
      <c r="BE83" s="168"/>
      <c r="BF83" s="168"/>
      <c r="BG83" s="168"/>
      <c r="BH83" s="168"/>
      <c r="BI83" s="168"/>
      <c r="BJ83" s="168"/>
    </row>
    <row r="84" spans="32:62">
      <c r="AF84" s="168"/>
      <c r="AG84" s="168"/>
      <c r="AH84" s="168"/>
      <c r="AI84" s="168"/>
      <c r="AJ84" s="168"/>
      <c r="AK84" s="168"/>
      <c r="AL84" s="168"/>
      <c r="AM84" s="168"/>
      <c r="AN84" s="168"/>
      <c r="AO84" s="168"/>
      <c r="AP84" s="168"/>
      <c r="AQ84" s="168"/>
      <c r="AR84" s="168"/>
      <c r="AS84" s="168"/>
      <c r="AT84" s="168"/>
      <c r="AU84" s="168"/>
      <c r="AV84" s="168"/>
      <c r="AW84" s="168"/>
      <c r="AX84" s="168"/>
      <c r="AY84" s="168"/>
      <c r="AZ84" s="168"/>
      <c r="BA84" s="168"/>
      <c r="BB84" s="168"/>
      <c r="BC84" s="168"/>
      <c r="BD84" s="168"/>
      <c r="BE84" s="168"/>
      <c r="BF84" s="168"/>
      <c r="BG84" s="168"/>
      <c r="BH84" s="168"/>
      <c r="BI84" s="168"/>
      <c r="BJ84" s="168"/>
    </row>
    <row r="85" spans="32:62">
      <c r="AF85" s="168"/>
      <c r="AG85" s="168"/>
      <c r="AH85" s="168"/>
      <c r="AI85" s="168"/>
      <c r="AJ85" s="168"/>
      <c r="AK85" s="168"/>
      <c r="AL85" s="168"/>
      <c r="AM85" s="168"/>
      <c r="AN85" s="168"/>
      <c r="AO85" s="168"/>
      <c r="AP85" s="168"/>
      <c r="AQ85" s="168"/>
      <c r="AR85" s="168"/>
      <c r="AS85" s="168"/>
      <c r="AT85" s="168"/>
      <c r="AU85" s="168"/>
      <c r="AV85" s="168"/>
      <c r="AW85" s="168"/>
      <c r="AX85" s="168"/>
      <c r="AY85" s="168"/>
      <c r="AZ85" s="168"/>
      <c r="BA85" s="168"/>
      <c r="BB85" s="168"/>
      <c r="BC85" s="168"/>
      <c r="BD85" s="168"/>
      <c r="BE85" s="168"/>
      <c r="BF85" s="168"/>
      <c r="BG85" s="168"/>
      <c r="BH85" s="168"/>
      <c r="BI85" s="168"/>
      <c r="BJ85" s="168"/>
    </row>
    <row r="86" spans="32:62">
      <c r="AF86" s="168"/>
      <c r="AG86" s="168"/>
      <c r="AH86" s="168"/>
      <c r="AI86" s="168"/>
      <c r="AJ86" s="168"/>
      <c r="AK86" s="168"/>
      <c r="AL86" s="168"/>
      <c r="AM86" s="168"/>
      <c r="AN86" s="168"/>
      <c r="AO86" s="168"/>
      <c r="AP86" s="168"/>
      <c r="AQ86" s="168"/>
      <c r="AR86" s="168"/>
      <c r="AS86" s="168"/>
      <c r="AT86" s="168"/>
      <c r="AU86" s="168"/>
      <c r="AV86" s="168"/>
      <c r="AW86" s="168"/>
      <c r="AX86" s="168"/>
      <c r="AY86" s="168"/>
      <c r="AZ86" s="168"/>
      <c r="BA86" s="168"/>
      <c r="BB86" s="168"/>
      <c r="BC86" s="168"/>
      <c r="BD86" s="168"/>
      <c r="BE86" s="168"/>
      <c r="BF86" s="168"/>
      <c r="BG86" s="168"/>
      <c r="BH86" s="168"/>
      <c r="BI86" s="168"/>
      <c r="BJ86" s="168"/>
    </row>
    <row r="87" spans="32:62">
      <c r="AF87" s="168"/>
      <c r="AG87" s="168"/>
      <c r="AH87" s="168"/>
      <c r="AI87" s="168"/>
      <c r="AJ87" s="168"/>
      <c r="AK87" s="168"/>
      <c r="AL87" s="168"/>
      <c r="AM87" s="168"/>
      <c r="AN87" s="168"/>
      <c r="AO87" s="168"/>
      <c r="AP87" s="168"/>
      <c r="AQ87" s="168"/>
      <c r="AR87" s="168"/>
      <c r="AS87" s="168"/>
      <c r="AT87" s="168"/>
      <c r="AU87" s="168"/>
      <c r="AV87" s="168"/>
      <c r="AW87" s="168"/>
      <c r="AX87" s="168"/>
      <c r="AY87" s="168"/>
      <c r="AZ87" s="168"/>
      <c r="BA87" s="168"/>
      <c r="BB87" s="168"/>
      <c r="BC87" s="168"/>
      <c r="BD87" s="168"/>
      <c r="BE87" s="168"/>
      <c r="BF87" s="168"/>
      <c r="BG87" s="168"/>
      <c r="BH87" s="168"/>
      <c r="BI87" s="168"/>
      <c r="BJ87" s="168"/>
    </row>
    <row r="88" spans="32:62">
      <c r="AF88" s="168"/>
      <c r="AG88" s="168"/>
      <c r="AH88" s="168"/>
      <c r="AI88" s="168"/>
      <c r="AJ88" s="168"/>
      <c r="AK88" s="168"/>
      <c r="AL88" s="168"/>
      <c r="AM88" s="168"/>
      <c r="AN88" s="168"/>
      <c r="AO88" s="168"/>
      <c r="AP88" s="168"/>
      <c r="AQ88" s="168"/>
      <c r="AR88" s="168"/>
      <c r="AS88" s="168"/>
      <c r="AT88" s="168"/>
      <c r="AU88" s="168"/>
      <c r="AV88" s="168"/>
      <c r="AW88" s="168"/>
      <c r="AX88" s="168"/>
      <c r="AY88" s="168"/>
      <c r="AZ88" s="168"/>
      <c r="BA88" s="168"/>
      <c r="BB88" s="168"/>
      <c r="BC88" s="168"/>
      <c r="BD88" s="168"/>
      <c r="BE88" s="168"/>
      <c r="BF88" s="168"/>
      <c r="BG88" s="168"/>
      <c r="BH88" s="168"/>
      <c r="BI88" s="168"/>
      <c r="BJ88" s="168"/>
    </row>
    <row r="89" spans="32:62">
      <c r="AF89" s="168"/>
      <c r="AG89" s="168"/>
      <c r="AH89" s="168"/>
      <c r="AI89" s="168"/>
      <c r="AJ89" s="168"/>
      <c r="AK89" s="168"/>
      <c r="AL89" s="168"/>
      <c r="AM89" s="168"/>
      <c r="AN89" s="168"/>
      <c r="AO89" s="168"/>
      <c r="AP89" s="168"/>
      <c r="AQ89" s="168"/>
      <c r="AR89" s="168"/>
      <c r="AS89" s="168"/>
      <c r="AT89" s="168"/>
      <c r="AU89" s="168"/>
      <c r="AV89" s="168"/>
      <c r="AW89" s="168"/>
      <c r="AX89" s="168"/>
      <c r="AY89" s="168"/>
      <c r="AZ89" s="168"/>
      <c r="BA89" s="168"/>
      <c r="BB89" s="168"/>
      <c r="BC89" s="168"/>
      <c r="BD89" s="168"/>
      <c r="BE89" s="168"/>
      <c r="BF89" s="168"/>
      <c r="BG89" s="168"/>
      <c r="BH89" s="168"/>
      <c r="BI89" s="168"/>
      <c r="BJ89" s="168"/>
    </row>
    <row r="90" spans="32:62">
      <c r="AF90" s="168"/>
      <c r="AG90" s="168"/>
      <c r="AH90" s="168"/>
      <c r="AI90" s="168"/>
      <c r="AJ90" s="168"/>
      <c r="AK90" s="168"/>
      <c r="AL90" s="168"/>
      <c r="AM90" s="168"/>
      <c r="AN90" s="168"/>
      <c r="AO90" s="168"/>
      <c r="AP90" s="168"/>
      <c r="AQ90" s="168"/>
      <c r="AR90" s="168"/>
      <c r="AS90" s="168"/>
      <c r="AT90" s="168"/>
      <c r="AU90" s="168"/>
      <c r="AV90" s="168"/>
      <c r="AW90" s="168"/>
      <c r="AX90" s="168"/>
      <c r="AY90" s="168"/>
      <c r="AZ90" s="168"/>
      <c r="BA90" s="168"/>
      <c r="BB90" s="168"/>
      <c r="BC90" s="168"/>
      <c r="BD90" s="168"/>
      <c r="BE90" s="168"/>
      <c r="BF90" s="168"/>
      <c r="BG90" s="168"/>
      <c r="BH90" s="168"/>
      <c r="BI90" s="168"/>
      <c r="BJ90" s="168"/>
    </row>
    <row r="91" spans="32:62">
      <c r="AF91" s="168"/>
      <c r="AG91" s="168"/>
      <c r="AH91" s="168"/>
      <c r="AI91" s="168"/>
      <c r="AJ91" s="168"/>
      <c r="AK91" s="168"/>
      <c r="AL91" s="168"/>
      <c r="AM91" s="168"/>
      <c r="AN91" s="168"/>
      <c r="AO91" s="168"/>
      <c r="AP91" s="168"/>
      <c r="AQ91" s="168"/>
      <c r="AR91" s="168"/>
      <c r="AS91" s="168"/>
      <c r="AT91" s="168"/>
      <c r="AU91" s="168"/>
      <c r="AV91" s="168"/>
      <c r="AW91" s="168"/>
      <c r="AX91" s="168"/>
      <c r="AY91" s="168"/>
      <c r="AZ91" s="168"/>
      <c r="BA91" s="168"/>
      <c r="BB91" s="168"/>
      <c r="BC91" s="168"/>
      <c r="BD91" s="168"/>
      <c r="BE91" s="168"/>
      <c r="BF91" s="168"/>
      <c r="BG91" s="168"/>
      <c r="BH91" s="168"/>
      <c r="BI91" s="168"/>
      <c r="BJ91" s="168"/>
    </row>
    <row r="92" spans="32:62">
      <c r="AF92" s="168"/>
      <c r="AG92" s="168"/>
      <c r="AH92" s="168"/>
      <c r="AI92" s="168"/>
      <c r="AJ92" s="168"/>
      <c r="AK92" s="168"/>
      <c r="AL92" s="168"/>
      <c r="AM92" s="168"/>
      <c r="AN92" s="168"/>
      <c r="AO92" s="168"/>
      <c r="AP92" s="168"/>
      <c r="AQ92" s="168"/>
      <c r="AR92" s="168"/>
      <c r="AS92" s="168"/>
      <c r="AT92" s="168"/>
      <c r="AU92" s="168"/>
      <c r="AV92" s="168"/>
      <c r="AW92" s="168"/>
      <c r="AX92" s="168"/>
      <c r="AY92" s="168"/>
      <c r="AZ92" s="168"/>
      <c r="BA92" s="168"/>
      <c r="BB92" s="168"/>
      <c r="BC92" s="168"/>
      <c r="BD92" s="168"/>
      <c r="BE92" s="168"/>
      <c r="BF92" s="168"/>
      <c r="BG92" s="168"/>
      <c r="BH92" s="168"/>
      <c r="BI92" s="168"/>
      <c r="BJ92" s="168"/>
    </row>
    <row r="93" spans="32:62">
      <c r="AF93" s="168"/>
      <c r="AG93" s="168"/>
      <c r="AH93" s="168"/>
      <c r="AI93" s="168"/>
      <c r="AJ93" s="168"/>
      <c r="AK93" s="168"/>
      <c r="AL93" s="168"/>
      <c r="AM93" s="168"/>
      <c r="AN93" s="168"/>
      <c r="AO93" s="168"/>
      <c r="AP93" s="168"/>
      <c r="AQ93" s="168"/>
      <c r="AR93" s="168"/>
      <c r="AS93" s="168"/>
      <c r="AT93" s="168"/>
      <c r="AU93" s="168"/>
      <c r="AV93" s="168"/>
      <c r="AW93" s="168"/>
      <c r="AX93" s="168"/>
      <c r="AY93" s="168"/>
      <c r="AZ93" s="168"/>
      <c r="BA93" s="168"/>
      <c r="BB93" s="168"/>
      <c r="BC93" s="168"/>
      <c r="BD93" s="168"/>
      <c r="BE93" s="168"/>
      <c r="BF93" s="168"/>
      <c r="BG93" s="168"/>
      <c r="BH93" s="168"/>
      <c r="BI93" s="168"/>
      <c r="BJ93" s="168"/>
    </row>
    <row r="94" spans="32:62">
      <c r="AF94" s="168"/>
      <c r="AG94" s="168"/>
      <c r="AH94" s="168"/>
      <c r="AI94" s="168"/>
      <c r="AJ94" s="168"/>
      <c r="AK94" s="168"/>
      <c r="AL94" s="168"/>
      <c r="AM94" s="168"/>
      <c r="AN94" s="168"/>
      <c r="AO94" s="168"/>
    </row>
  </sheetData>
  <dataConsolidate function="varp">
    <dataRefs count="1">
      <dataRef ref="F11:N14" sheet="Payroll 2018.3" r:id="rId1"/>
    </dataRefs>
  </dataConsolidate>
  <mergeCells count="73">
    <mergeCell ref="DA7:DD8"/>
    <mergeCell ref="Y7:Z8"/>
    <mergeCell ref="AC7:AC8"/>
    <mergeCell ref="AD7:AE8"/>
    <mergeCell ref="CP7:CP8"/>
    <mergeCell ref="CQ7:CQ8"/>
    <mergeCell ref="CT8:CW8"/>
    <mergeCell ref="CR7:CS8"/>
    <mergeCell ref="CZ7:CZ8"/>
    <mergeCell ref="BZ8:CA8"/>
    <mergeCell ref="CB8:CC8"/>
    <mergeCell ref="CE8:CF8"/>
    <mergeCell ref="CG8:CH8"/>
    <mergeCell ref="CI8:CJ8"/>
    <mergeCell ref="BF7:BW7"/>
    <mergeCell ref="BF8:BM8"/>
    <mergeCell ref="AH7:AJ8"/>
    <mergeCell ref="BN8:BU8"/>
    <mergeCell ref="BV8:BW8"/>
    <mergeCell ref="BX7:BX8"/>
    <mergeCell ref="AV8:AW8"/>
    <mergeCell ref="AX7:BE7"/>
    <mergeCell ref="AX8:AZ8"/>
    <mergeCell ref="BA8:BC8"/>
    <mergeCell ref="BD8:BE8"/>
    <mergeCell ref="D7:E8"/>
    <mergeCell ref="F7:F8"/>
    <mergeCell ref="S7:S8"/>
    <mergeCell ref="T7:T8"/>
    <mergeCell ref="U7:U8"/>
    <mergeCell ref="N7:N8"/>
    <mergeCell ref="O7:O8"/>
    <mergeCell ref="P7:P8"/>
    <mergeCell ref="Q7:Q8"/>
    <mergeCell ref="R7:R8"/>
    <mergeCell ref="J7:J9"/>
    <mergeCell ref="A5:DF5"/>
    <mergeCell ref="BY7:BY9"/>
    <mergeCell ref="BZ7:CA7"/>
    <mergeCell ref="CB7:CC7"/>
    <mergeCell ref="CD7:CD9"/>
    <mergeCell ref="CE7:CF7"/>
    <mergeCell ref="CI7:CJ7"/>
    <mergeCell ref="DE7:DF7"/>
    <mergeCell ref="CT7:CW7"/>
    <mergeCell ref="CX7:CX9"/>
    <mergeCell ref="CY7:CY9"/>
    <mergeCell ref="AP7:AW7"/>
    <mergeCell ref="CG7:CH7"/>
    <mergeCell ref="A7:A8"/>
    <mergeCell ref="B7:B8"/>
    <mergeCell ref="C7:C8"/>
    <mergeCell ref="A36:C36"/>
    <mergeCell ref="A45:C45"/>
    <mergeCell ref="A48:C48"/>
    <mergeCell ref="A18:C18"/>
    <mergeCell ref="A27:C27"/>
    <mergeCell ref="CG49:CH49"/>
    <mergeCell ref="CK7:CO7"/>
    <mergeCell ref="G7:G8"/>
    <mergeCell ref="H7:H8"/>
    <mergeCell ref="I7:I8"/>
    <mergeCell ref="K7:K8"/>
    <mergeCell ref="L7:L8"/>
    <mergeCell ref="M7:M8"/>
    <mergeCell ref="W7:X8"/>
    <mergeCell ref="AK7:AL8"/>
    <mergeCell ref="AM7:AN8"/>
    <mergeCell ref="AP8:AR8"/>
    <mergeCell ref="AS8:AU8"/>
    <mergeCell ref="AA7:AB8"/>
    <mergeCell ref="AF7:AG8"/>
    <mergeCell ref="V7:V8"/>
  </mergeCells>
  <phoneticPr fontId="3" type="noConversion"/>
  <conditionalFormatting sqref="DE48 DE1:DE9 DE50:DE1048576 DE11:DE46">
    <cfRule type="duplicateValues" dxfId="6" priority="6"/>
    <cfRule type="duplicateValues" dxfId="5" priority="7"/>
  </conditionalFormatting>
  <conditionalFormatting sqref="B7:B8">
    <cfRule type="duplicateValues" dxfId="4" priority="5"/>
  </conditionalFormatting>
  <conditionalFormatting sqref="B7:B8">
    <cfRule type="duplicateValues" dxfId="3" priority="4"/>
  </conditionalFormatting>
  <conditionalFormatting sqref="B7:B8">
    <cfRule type="duplicateValues" dxfId="2" priority="3"/>
  </conditionalFormatting>
  <conditionalFormatting sqref="B7:B8">
    <cfRule type="duplicateValues" dxfId="1" priority="2"/>
  </conditionalFormatting>
  <conditionalFormatting sqref="B7:B8">
    <cfRule type="duplicateValues" dxfId="0" priority="1"/>
  </conditionalFormatting>
  <printOptions horizontalCentered="1" verticalCentered="1"/>
  <pageMargins left="0" right="0" top="0.5" bottom="0.5" header="0.25" footer="0.25"/>
  <pageSetup paperSize="8" scale="68" orientation="landscape" r:id="rId2"/>
  <headerFooter alignWithMargins="0"/>
  <rowBreaks count="1" manualBreakCount="1">
    <brk id="38" max="16383" man="1"/>
  </rowBreaks>
  <colBreaks count="1" manualBreakCount="1">
    <brk id="76" max="1048575" man="1"/>
  </colBreaks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2021-07-05T06:18:05Z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6159395e-e54e-4c8d-81f4-543f77d75521</vt:lpwstr>
  </property>
</Properties>
</file>